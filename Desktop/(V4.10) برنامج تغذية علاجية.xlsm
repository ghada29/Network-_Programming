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ghada\OneDrive\سطح المكتب\"/>
    </mc:Choice>
  </mc:AlternateContent>
  <xr:revisionPtr revIDLastSave="0" documentId="13_ncr:1_{40ACB4EA-34E8-4CC6-91B7-30509CA713FA}" xr6:coauthVersionLast="47" xr6:coauthVersionMax="47" xr10:uidLastSave="{00000000-0000-0000-0000-000000000000}"/>
  <workbookProtection workbookAlgorithmName="SHA-512" workbookHashValue="cnYD5cDQMuO/GP65BTqKgzYcE1QPhVDSPnUnZeMAvqr29tWohAPgfQQKJSm1GvA+19dOhKgdLEomsqWFV9wb3g==" workbookSaltValue="dDspRAos4e+KRAW3qKAOlA==" workbookSpinCount="100000" lockStructure="1"/>
  <bookViews>
    <workbookView xWindow="-108" yWindow="-108" windowWidth="23256" windowHeight="12576" tabRatio="877" activeTab="6" xr2:uid="{00000000-000D-0000-FFFF-FFFF00000000}"/>
  </bookViews>
  <sheets>
    <sheet name="about" sheetId="27" r:id="rId1"/>
    <sheet name="Tutorial" sheetId="14" r:id="rId2"/>
    <sheet name="target weight" sheetId="13" state="hidden" r:id="rId3"/>
    <sheet name="Formula" sheetId="1" r:id="rId4"/>
    <sheet name="Ex. List" sheetId="2" r:id="rId5"/>
    <sheet name="DM" sheetId="6" r:id="rId6"/>
    <sheet name="Menu" sheetId="25" r:id="rId7"/>
    <sheet name="menu2" sheetId="16" r:id="rId8"/>
    <sheet name="meals" sheetId="18" r:id="rId9"/>
  </sheets>
  <definedNames>
    <definedName name="female">'target weight'!$I$4:$I$7</definedName>
    <definedName name="lactating">'target weight'!$K$4:$K$7</definedName>
    <definedName name="male">'target weight'!$H$4:$H$7</definedName>
    <definedName name="pregnant">'target weight'!$J$4:$J$7</definedName>
    <definedName name="_xlnm.Print_Area" localSheetId="5">DM!$A$1:$AB$25</definedName>
    <definedName name="_xlnm.Print_Area" localSheetId="4">'Ex. List'!$A$1:$M$20</definedName>
    <definedName name="_xlnm.Print_Area" localSheetId="3">Formula!$A$1:$F$27</definedName>
    <definedName name="_xlnm.Print_Area" localSheetId="8">meals!$A$1:$C$40</definedName>
  </definedNames>
  <calcPr calcId="181029"/>
</workbook>
</file>

<file path=xl/calcChain.xml><?xml version="1.0" encoding="utf-8"?>
<calcChain xmlns="http://schemas.openxmlformats.org/spreadsheetml/2006/main">
  <c r="G1" i="13" l="1"/>
  <c r="C4" i="13"/>
  <c r="U22" i="6" l="1"/>
  <c r="B11" i="1" l="1"/>
  <c r="D4" i="25" l="1"/>
  <c r="D8" i="25"/>
  <c r="D9" i="25"/>
  <c r="D10" i="25"/>
  <c r="D11" i="25"/>
  <c r="D12" i="25"/>
  <c r="D13" i="25"/>
  <c r="D14" i="25"/>
  <c r="D15" i="25"/>
  <c r="D22" i="25"/>
  <c r="D24" i="25"/>
  <c r="D27" i="25"/>
  <c r="D30" i="25"/>
  <c r="AC4" i="25"/>
  <c r="AC8" i="25"/>
  <c r="AC9" i="25"/>
  <c r="AC10" i="25"/>
  <c r="AC11" i="25"/>
  <c r="AC12" i="25"/>
  <c r="AC13" i="25"/>
  <c r="AC14" i="25"/>
  <c r="AC15" i="25"/>
  <c r="AC22" i="25"/>
  <c r="AC24" i="25"/>
  <c r="AC27" i="25"/>
  <c r="AC30" i="25"/>
  <c r="X4" i="25"/>
  <c r="X8" i="25"/>
  <c r="X9" i="25"/>
  <c r="X10" i="25"/>
  <c r="X11" i="25"/>
  <c r="X12" i="25"/>
  <c r="X13" i="25"/>
  <c r="X14" i="25"/>
  <c r="X15" i="25"/>
  <c r="X22" i="25"/>
  <c r="X24" i="25"/>
  <c r="X27" i="25"/>
  <c r="X30" i="25"/>
  <c r="S4" i="25"/>
  <c r="S8" i="25"/>
  <c r="S9" i="25"/>
  <c r="S10" i="25"/>
  <c r="S11" i="25"/>
  <c r="S12" i="25"/>
  <c r="S13" i="25"/>
  <c r="S14" i="25"/>
  <c r="S15" i="25"/>
  <c r="S22" i="25"/>
  <c r="S24" i="25"/>
  <c r="S27" i="25"/>
  <c r="S30" i="25"/>
  <c r="N4" i="25"/>
  <c r="N8" i="25"/>
  <c r="N9" i="25"/>
  <c r="N10" i="25"/>
  <c r="N11" i="25"/>
  <c r="N12" i="25"/>
  <c r="N13" i="25"/>
  <c r="N14" i="25"/>
  <c r="N15" i="25"/>
  <c r="N22" i="25"/>
  <c r="N24" i="25"/>
  <c r="N27" i="25"/>
  <c r="N30" i="25"/>
  <c r="I4" i="25"/>
  <c r="I8" i="25"/>
  <c r="I9" i="25"/>
  <c r="I10" i="25"/>
  <c r="I11" i="25"/>
  <c r="I12" i="25"/>
  <c r="I13" i="25"/>
  <c r="I14" i="25"/>
  <c r="I15" i="25"/>
  <c r="I22" i="25"/>
  <c r="I24" i="25"/>
  <c r="I27" i="25"/>
  <c r="I30" i="25"/>
  <c r="M3" i="16" l="1"/>
  <c r="M4" i="16"/>
  <c r="M5" i="16"/>
  <c r="M6" i="16"/>
  <c r="M7" i="16"/>
  <c r="M8" i="16"/>
  <c r="M9" i="16"/>
  <c r="M10" i="16"/>
  <c r="M11" i="16"/>
  <c r="M12" i="16"/>
  <c r="M13" i="16"/>
  <c r="M14" i="16"/>
  <c r="M15" i="16"/>
  <c r="K3" i="16"/>
  <c r="K4" i="16"/>
  <c r="K5" i="16"/>
  <c r="K6" i="16"/>
  <c r="K7" i="16"/>
  <c r="K8" i="16"/>
  <c r="K9" i="16"/>
  <c r="K10" i="16"/>
  <c r="K11" i="16"/>
  <c r="K12" i="16"/>
  <c r="K13" i="16"/>
  <c r="K14" i="16"/>
  <c r="K15" i="16"/>
  <c r="I3" i="16"/>
  <c r="I4" i="16"/>
  <c r="I5" i="16"/>
  <c r="I6" i="16"/>
  <c r="I7" i="16"/>
  <c r="I8" i="16"/>
  <c r="I9" i="16"/>
  <c r="I10" i="16"/>
  <c r="I11" i="16"/>
  <c r="I12" i="16"/>
  <c r="I13" i="16"/>
  <c r="I14" i="16"/>
  <c r="I15" i="16"/>
  <c r="G3" i="16"/>
  <c r="G4" i="16"/>
  <c r="G5" i="16"/>
  <c r="G6" i="16"/>
  <c r="G7" i="16"/>
  <c r="G8" i="16"/>
  <c r="G9" i="16"/>
  <c r="G10" i="16"/>
  <c r="G11" i="16"/>
  <c r="G12" i="16"/>
  <c r="G13" i="16"/>
  <c r="G14" i="16"/>
  <c r="G15" i="16"/>
  <c r="E3" i="16"/>
  <c r="E4" i="16"/>
  <c r="E5" i="16"/>
  <c r="E6" i="16"/>
  <c r="E7" i="16"/>
  <c r="E8" i="16"/>
  <c r="E9" i="16"/>
  <c r="E10" i="16"/>
  <c r="E11" i="16"/>
  <c r="E12" i="16"/>
  <c r="E13" i="16"/>
  <c r="E14" i="16"/>
  <c r="E15" i="16"/>
  <c r="C3" i="16"/>
  <c r="C4" i="16"/>
  <c r="C5" i="16"/>
  <c r="C6" i="16"/>
  <c r="C7" i="16"/>
  <c r="C8" i="16"/>
  <c r="C9" i="16"/>
  <c r="C10" i="16"/>
  <c r="C11" i="16"/>
  <c r="C12" i="16"/>
  <c r="C13" i="16"/>
  <c r="C14" i="16"/>
  <c r="C15" i="16"/>
  <c r="C16" i="6" l="1"/>
  <c r="AB16" i="6" s="1"/>
  <c r="C15" i="6"/>
  <c r="AB15" i="6" s="1"/>
  <c r="C14" i="6"/>
  <c r="AB14" i="6" s="1"/>
  <c r="C13" i="6"/>
  <c r="AB13" i="6" s="1"/>
  <c r="C12" i="6"/>
  <c r="AB12" i="6" s="1"/>
  <c r="C11" i="6"/>
  <c r="AB11" i="6" s="1"/>
  <c r="C10" i="6"/>
  <c r="AB10" i="6" s="1"/>
  <c r="C9" i="6"/>
  <c r="AB9" i="6" s="1"/>
  <c r="C8" i="6"/>
  <c r="AB8" i="6" s="1"/>
  <c r="C7" i="6"/>
  <c r="AB7" i="6" s="1"/>
  <c r="C6" i="6"/>
  <c r="AB6" i="6" s="1"/>
  <c r="C5" i="6"/>
  <c r="AB5" i="6" s="1"/>
  <c r="C4" i="6"/>
  <c r="AB4" i="6" s="1"/>
  <c r="F12" i="2"/>
  <c r="D7" i="2" l="1"/>
  <c r="H5" i="13" l="1"/>
  <c r="I5" i="13"/>
  <c r="J5" i="13"/>
  <c r="K5" i="13"/>
  <c r="H6" i="13"/>
  <c r="I6" i="13"/>
  <c r="J6" i="13"/>
  <c r="K6" i="13"/>
  <c r="H7" i="13"/>
  <c r="I7" i="13"/>
  <c r="J7" i="13"/>
  <c r="K7" i="13"/>
  <c r="C3" i="13" l="1"/>
  <c r="E3" i="13" s="1"/>
  <c r="C2" i="13"/>
  <c r="C1" i="13"/>
  <c r="C8" i="13" l="1"/>
  <c r="C12" i="13" s="1"/>
  <c r="H2" i="13"/>
  <c r="E8" i="13"/>
  <c r="C5" i="13"/>
  <c r="A8" i="13"/>
  <c r="C10" i="13" l="1"/>
  <c r="C14" i="13" s="1"/>
  <c r="B12" i="1" s="1"/>
  <c r="AA16" i="6"/>
  <c r="Z16" i="6"/>
  <c r="Y16" i="6"/>
  <c r="O16" i="6"/>
  <c r="N16" i="6"/>
  <c r="M16" i="6"/>
  <c r="S16" i="6"/>
  <c r="R16" i="6"/>
  <c r="Q16" i="6"/>
  <c r="W16" i="6"/>
  <c r="V16" i="6"/>
  <c r="U16" i="6"/>
  <c r="K16" i="6"/>
  <c r="J16" i="6"/>
  <c r="I16" i="6"/>
  <c r="G16" i="6"/>
  <c r="F16" i="6"/>
  <c r="E16" i="6"/>
  <c r="AA15" i="6"/>
  <c r="Z15" i="6"/>
  <c r="Y15" i="6"/>
  <c r="O15" i="6"/>
  <c r="N15" i="6"/>
  <c r="M15" i="6"/>
  <c r="S15" i="6"/>
  <c r="R15" i="6"/>
  <c r="Q15" i="6"/>
  <c r="W15" i="6"/>
  <c r="V15" i="6"/>
  <c r="U15" i="6"/>
  <c r="K15" i="6"/>
  <c r="J15" i="6"/>
  <c r="I15" i="6"/>
  <c r="G15" i="6"/>
  <c r="F15" i="6"/>
  <c r="E15" i="6"/>
  <c r="AA14" i="6"/>
  <c r="Z14" i="6"/>
  <c r="Y14" i="6"/>
  <c r="O14" i="6"/>
  <c r="N14" i="6"/>
  <c r="M14" i="6"/>
  <c r="S14" i="6"/>
  <c r="R14" i="6"/>
  <c r="Q14" i="6"/>
  <c r="W14" i="6"/>
  <c r="V14" i="6"/>
  <c r="U14" i="6"/>
  <c r="K14" i="6"/>
  <c r="J14" i="6"/>
  <c r="I14" i="6"/>
  <c r="G14" i="6"/>
  <c r="F14" i="6"/>
  <c r="E14" i="6"/>
  <c r="AA13" i="6"/>
  <c r="Z13" i="6"/>
  <c r="Y13" i="6"/>
  <c r="O13" i="6"/>
  <c r="N13" i="6"/>
  <c r="M13" i="6"/>
  <c r="S13" i="6"/>
  <c r="R13" i="6"/>
  <c r="Q13" i="6"/>
  <c r="W13" i="6"/>
  <c r="V13" i="6"/>
  <c r="U13" i="6"/>
  <c r="K13" i="6"/>
  <c r="J13" i="6"/>
  <c r="I13" i="6"/>
  <c r="G13" i="6"/>
  <c r="F13" i="6"/>
  <c r="E13" i="6"/>
  <c r="AA12" i="6"/>
  <c r="Z12" i="6"/>
  <c r="Y12" i="6"/>
  <c r="O12" i="6"/>
  <c r="N12" i="6"/>
  <c r="M12" i="6"/>
  <c r="S12" i="6"/>
  <c r="R12" i="6"/>
  <c r="Q12" i="6"/>
  <c r="W12" i="6"/>
  <c r="V12" i="6"/>
  <c r="U12" i="6"/>
  <c r="K12" i="6"/>
  <c r="J12" i="6"/>
  <c r="I12" i="6"/>
  <c r="G12" i="6"/>
  <c r="F12" i="6"/>
  <c r="E12" i="6"/>
  <c r="AA11" i="6"/>
  <c r="Z11" i="6"/>
  <c r="Y11" i="6"/>
  <c r="O11" i="6"/>
  <c r="N11" i="6"/>
  <c r="M11" i="6"/>
  <c r="S11" i="6"/>
  <c r="R11" i="6"/>
  <c r="Q11" i="6"/>
  <c r="W11" i="6"/>
  <c r="V11" i="6"/>
  <c r="U11" i="6"/>
  <c r="K11" i="6"/>
  <c r="J11" i="6"/>
  <c r="I11" i="6"/>
  <c r="G11" i="6"/>
  <c r="F11" i="6"/>
  <c r="E11" i="6"/>
  <c r="AA10" i="6"/>
  <c r="Z10" i="6"/>
  <c r="Y10" i="6"/>
  <c r="O10" i="6"/>
  <c r="N10" i="6"/>
  <c r="M10" i="6"/>
  <c r="S10" i="6"/>
  <c r="R10" i="6"/>
  <c r="Q10" i="6"/>
  <c r="W10" i="6"/>
  <c r="V10" i="6"/>
  <c r="U10" i="6"/>
  <c r="K10" i="6"/>
  <c r="J10" i="6"/>
  <c r="I10" i="6"/>
  <c r="G10" i="6"/>
  <c r="F10" i="6"/>
  <c r="E10" i="6"/>
  <c r="AA9" i="6"/>
  <c r="Z9" i="6"/>
  <c r="Y9" i="6"/>
  <c r="O9" i="6"/>
  <c r="N9" i="6"/>
  <c r="M9" i="6"/>
  <c r="S9" i="6"/>
  <c r="R9" i="6"/>
  <c r="Q9" i="6"/>
  <c r="W9" i="6"/>
  <c r="V9" i="6"/>
  <c r="U9" i="6"/>
  <c r="K9" i="6"/>
  <c r="J9" i="6"/>
  <c r="I9" i="6"/>
  <c r="G9" i="6"/>
  <c r="F9" i="6"/>
  <c r="E9" i="6"/>
  <c r="AA8" i="6"/>
  <c r="Z8" i="6"/>
  <c r="Y8" i="6"/>
  <c r="O8" i="6"/>
  <c r="N8" i="6"/>
  <c r="M8" i="6"/>
  <c r="S8" i="6"/>
  <c r="R8" i="6"/>
  <c r="Q8" i="6"/>
  <c r="W8" i="6"/>
  <c r="V8" i="6"/>
  <c r="U8" i="6"/>
  <c r="K8" i="6"/>
  <c r="J8" i="6"/>
  <c r="I8" i="6"/>
  <c r="G8" i="6"/>
  <c r="F8" i="6"/>
  <c r="E8" i="6"/>
  <c r="AA7" i="6"/>
  <c r="Z7" i="6"/>
  <c r="Y7" i="6"/>
  <c r="O7" i="6"/>
  <c r="N7" i="6"/>
  <c r="M7" i="6"/>
  <c r="S7" i="6"/>
  <c r="R7" i="6"/>
  <c r="Q7" i="6"/>
  <c r="W7" i="6"/>
  <c r="V7" i="6"/>
  <c r="U7" i="6"/>
  <c r="K7" i="6"/>
  <c r="J7" i="6"/>
  <c r="I7" i="6"/>
  <c r="G7" i="6"/>
  <c r="F7" i="6"/>
  <c r="E7" i="6"/>
  <c r="AA6" i="6"/>
  <c r="Z6" i="6"/>
  <c r="Y6" i="6"/>
  <c r="O6" i="6"/>
  <c r="N6" i="6"/>
  <c r="M6" i="6"/>
  <c r="S6" i="6"/>
  <c r="R6" i="6"/>
  <c r="Q6" i="6"/>
  <c r="W6" i="6"/>
  <c r="V6" i="6"/>
  <c r="U6" i="6"/>
  <c r="K6" i="6"/>
  <c r="J6" i="6"/>
  <c r="I6" i="6"/>
  <c r="G6" i="6"/>
  <c r="F6" i="6"/>
  <c r="E6" i="6"/>
  <c r="AA5" i="6"/>
  <c r="Z5" i="6"/>
  <c r="Y5" i="6"/>
  <c r="O5" i="6"/>
  <c r="N5" i="6"/>
  <c r="M5" i="6"/>
  <c r="S5" i="6"/>
  <c r="R5" i="6"/>
  <c r="Q5" i="6"/>
  <c r="W5" i="6"/>
  <c r="V5" i="6"/>
  <c r="U5" i="6"/>
  <c r="K5" i="6"/>
  <c r="J5" i="6"/>
  <c r="I5" i="6"/>
  <c r="G5" i="6"/>
  <c r="F5" i="6"/>
  <c r="E5" i="6"/>
  <c r="AA4" i="6"/>
  <c r="Z4" i="6"/>
  <c r="Y4" i="6"/>
  <c r="O4" i="6"/>
  <c r="N4" i="6"/>
  <c r="M4" i="6"/>
  <c r="S4" i="6"/>
  <c r="R4" i="6"/>
  <c r="Q4" i="6"/>
  <c r="W4" i="6"/>
  <c r="V4" i="6"/>
  <c r="U4" i="6"/>
  <c r="K4" i="6"/>
  <c r="J4" i="6"/>
  <c r="I4" i="6"/>
  <c r="G4" i="6"/>
  <c r="F4" i="6"/>
  <c r="E4" i="6"/>
  <c r="H15" i="2"/>
  <c r="G15" i="2"/>
  <c r="F15" i="2"/>
  <c r="E15" i="2"/>
  <c r="D15" i="2"/>
  <c r="H14" i="2"/>
  <c r="G14" i="2"/>
  <c r="F14" i="2"/>
  <c r="E14" i="2"/>
  <c r="D14" i="2"/>
  <c r="H13" i="2"/>
  <c r="G13" i="2"/>
  <c r="F13" i="2"/>
  <c r="E13" i="2"/>
  <c r="D13" i="2"/>
  <c r="H12" i="2"/>
  <c r="G12" i="2"/>
  <c r="E12" i="2"/>
  <c r="D12" i="2"/>
  <c r="H11" i="2"/>
  <c r="G11" i="2"/>
  <c r="F11" i="2"/>
  <c r="E11" i="2"/>
  <c r="D11" i="2"/>
  <c r="H10" i="2"/>
  <c r="G10" i="2"/>
  <c r="F10" i="2"/>
  <c r="E10" i="2"/>
  <c r="D10" i="2"/>
  <c r="H9" i="2"/>
  <c r="G9" i="2"/>
  <c r="F9" i="2"/>
  <c r="E9" i="2"/>
  <c r="D9" i="2"/>
  <c r="H8" i="2"/>
  <c r="G8" i="2"/>
  <c r="F8" i="2"/>
  <c r="E8" i="2"/>
  <c r="D8" i="2"/>
  <c r="H7" i="2"/>
  <c r="G7" i="2"/>
  <c r="F7" i="2"/>
  <c r="E7" i="2"/>
  <c r="H6" i="2"/>
  <c r="G6" i="2"/>
  <c r="F6" i="2"/>
  <c r="E6" i="2"/>
  <c r="D6" i="2"/>
  <c r="H5" i="2"/>
  <c r="G5" i="2"/>
  <c r="F5" i="2"/>
  <c r="E5" i="2"/>
  <c r="D5" i="2"/>
  <c r="H4" i="2"/>
  <c r="G4" i="2"/>
  <c r="F4" i="2"/>
  <c r="E4" i="2"/>
  <c r="D4" i="2"/>
  <c r="H3" i="2"/>
  <c r="G3" i="2"/>
  <c r="F3" i="2"/>
  <c r="E3" i="2"/>
  <c r="D3" i="2"/>
  <c r="C14" i="1" l="1"/>
  <c r="C16" i="1" s="1"/>
  <c r="E17" i="2" s="1"/>
  <c r="C15" i="1"/>
  <c r="D17" i="2" s="1"/>
  <c r="D12" i="1"/>
  <c r="W17" i="6"/>
  <c r="M17" i="6"/>
  <c r="E17" i="6"/>
  <c r="Z17" i="6"/>
  <c r="J17" i="6"/>
  <c r="K17" i="6"/>
  <c r="Q17" i="6"/>
  <c r="AA17" i="6"/>
  <c r="G17" i="6"/>
  <c r="U17" i="6"/>
  <c r="R17" i="6"/>
  <c r="O17" i="6"/>
  <c r="F17" i="6"/>
  <c r="N17" i="6"/>
  <c r="H16" i="2"/>
  <c r="D16" i="2"/>
  <c r="E16" i="2"/>
  <c r="F16" i="2"/>
  <c r="G16" i="2"/>
  <c r="I17" i="6"/>
  <c r="V17" i="6"/>
  <c r="S17" i="6"/>
  <c r="Y17" i="6"/>
  <c r="D18" i="2" l="1"/>
  <c r="H17" i="2"/>
  <c r="H18" i="2" s="1"/>
  <c r="C17" i="1"/>
  <c r="G17" i="2" s="1"/>
  <c r="G18" i="2" s="1"/>
  <c r="N18" i="6"/>
  <c r="N19" i="6" s="1"/>
  <c r="V22" i="6"/>
  <c r="V23" i="6" s="1"/>
  <c r="Z20" i="6"/>
  <c r="Z21" i="6" s="1"/>
  <c r="V20" i="6"/>
  <c r="V21" i="6" s="1"/>
  <c r="N22" i="6"/>
  <c r="N23" i="6" s="1"/>
  <c r="F22" i="6"/>
  <c r="F23" i="6" s="1"/>
  <c r="Z18" i="6"/>
  <c r="Z19" i="6" s="1"/>
  <c r="V18" i="6"/>
  <c r="V19" i="6" s="1"/>
  <c r="N20" i="6"/>
  <c r="N21" i="6" s="1"/>
  <c r="F20" i="6"/>
  <c r="F21" i="6" s="1"/>
  <c r="F18" i="6"/>
  <c r="F19" i="6" s="1"/>
  <c r="AA20" i="6"/>
  <c r="AA21" i="6" s="1"/>
  <c r="W18" i="6"/>
  <c r="W19" i="6" s="1"/>
  <c r="O20" i="6"/>
  <c r="O21" i="6" s="1"/>
  <c r="G22" i="6"/>
  <c r="G23" i="6" s="1"/>
  <c r="O18" i="6"/>
  <c r="O19" i="6" s="1"/>
  <c r="G20" i="6"/>
  <c r="G21" i="6" s="1"/>
  <c r="W22" i="6"/>
  <c r="W23" i="6" s="1"/>
  <c r="G18" i="6"/>
  <c r="G19" i="6" s="1"/>
  <c r="W20" i="6"/>
  <c r="W21" i="6" s="1"/>
  <c r="O22" i="6"/>
  <c r="O23" i="6" s="1"/>
  <c r="AA18" i="6"/>
  <c r="AA19" i="6" s="1"/>
  <c r="Y20" i="6"/>
  <c r="Y21" i="6" s="1"/>
  <c r="E22" i="6"/>
  <c r="E23" i="6" s="1"/>
  <c r="E18" i="6"/>
  <c r="E19" i="6" s="1"/>
  <c r="U20" i="6"/>
  <c r="U21" i="6" s="1"/>
  <c r="M22" i="6"/>
  <c r="M23" i="6" s="1"/>
  <c r="E20" i="6"/>
  <c r="E21" i="6" s="1"/>
  <c r="U18" i="6"/>
  <c r="U19" i="6" s="1"/>
  <c r="M20" i="6"/>
  <c r="M21" i="6" s="1"/>
  <c r="Y18" i="6"/>
  <c r="Y19" i="6" s="1"/>
  <c r="M18" i="6"/>
  <c r="M19" i="6" s="1"/>
  <c r="U23" i="6"/>
  <c r="R18" i="6"/>
  <c r="R19" i="6" s="1"/>
  <c r="Q18" i="6"/>
  <c r="Q19" i="6" s="1"/>
  <c r="K18" i="6"/>
  <c r="K19" i="6" s="1"/>
  <c r="J18" i="6"/>
  <c r="J19" i="6" s="1"/>
  <c r="S18" i="6"/>
  <c r="S19" i="6" s="1"/>
  <c r="E18" i="2"/>
  <c r="I18" i="6"/>
  <c r="I19" i="6" s="1"/>
  <c r="C19" i="1" l="1"/>
  <c r="F17" i="2"/>
  <c r="F18" i="2" s="1"/>
  <c r="F19" i="2" s="1"/>
  <c r="C18" i="1"/>
</calcChain>
</file>

<file path=xl/sharedStrings.xml><?xml version="1.0" encoding="utf-8"?>
<sst xmlns="http://schemas.openxmlformats.org/spreadsheetml/2006/main" count="642" uniqueCount="265">
  <si>
    <t>Age</t>
  </si>
  <si>
    <t>yr</t>
  </si>
  <si>
    <t>Weight</t>
  </si>
  <si>
    <t>kg</t>
  </si>
  <si>
    <t>Height</t>
  </si>
  <si>
    <t>cm</t>
  </si>
  <si>
    <t>BMI</t>
  </si>
  <si>
    <t>kg/m2</t>
  </si>
  <si>
    <t>Physical Activity (PAL)</t>
  </si>
  <si>
    <t>Requirements From Essential Macronutrients</t>
  </si>
  <si>
    <t>Energy</t>
  </si>
  <si>
    <t>(Kcal/day)</t>
  </si>
  <si>
    <t xml:space="preserve">Protein </t>
  </si>
  <si>
    <t xml:space="preserve"> (g/day)</t>
  </si>
  <si>
    <t>Fat</t>
  </si>
  <si>
    <t xml:space="preserve">Simple sugar </t>
  </si>
  <si>
    <t>Carbs.</t>
  </si>
  <si>
    <t>By Dif.</t>
  </si>
  <si>
    <t>Complex Carbs.</t>
  </si>
  <si>
    <t>Food Group</t>
  </si>
  <si>
    <t>Subgroup</t>
  </si>
  <si>
    <t>Servings</t>
  </si>
  <si>
    <t>Protein (g)</t>
  </si>
  <si>
    <t>Fats (g)</t>
  </si>
  <si>
    <t>Simple Carbs (g)</t>
  </si>
  <si>
    <t>Complex Carbs. (g)</t>
  </si>
  <si>
    <t>Energy (Kcal)</t>
  </si>
  <si>
    <t>Starchy Foods</t>
  </si>
  <si>
    <t>Breads</t>
  </si>
  <si>
    <t>Legumes</t>
  </si>
  <si>
    <t>Milk and Dairy Products</t>
  </si>
  <si>
    <t>Skimed or low fat</t>
  </si>
  <si>
    <t>Medium fat</t>
  </si>
  <si>
    <t>Full fat</t>
  </si>
  <si>
    <t>Meats and Meat substitute</t>
  </si>
  <si>
    <t>Lean</t>
  </si>
  <si>
    <t>High fat</t>
  </si>
  <si>
    <t>Sweets, Deserts, &amp; other Carbs.</t>
  </si>
  <si>
    <t>Vegetables</t>
  </si>
  <si>
    <t>Non Starchy</t>
  </si>
  <si>
    <t>Fruits</t>
  </si>
  <si>
    <t>Fats</t>
  </si>
  <si>
    <t>Free Foods</t>
  </si>
  <si>
    <t>Total</t>
  </si>
  <si>
    <t>Requirements</t>
  </si>
  <si>
    <t>Differences</t>
  </si>
  <si>
    <t>Breakfast</t>
  </si>
  <si>
    <t>Dinner</t>
  </si>
  <si>
    <t>Lunch</t>
  </si>
  <si>
    <t>Bedtime meal</t>
  </si>
  <si>
    <t>Dif. In Servings</t>
  </si>
  <si>
    <t>serving</t>
  </si>
  <si>
    <t>simple carbs</t>
  </si>
  <si>
    <t>complex carbs</t>
  </si>
  <si>
    <t>Kcal</t>
  </si>
  <si>
    <t>Serving</t>
  </si>
  <si>
    <t>الوزن الصحى</t>
  </si>
  <si>
    <t>law</t>
  </si>
  <si>
    <t>النسبة المئوية %</t>
  </si>
  <si>
    <t>adjusted body weight</t>
  </si>
  <si>
    <t>target weight</t>
  </si>
  <si>
    <t>normal</t>
  </si>
  <si>
    <t>%</t>
  </si>
  <si>
    <t>high</t>
  </si>
  <si>
    <t>m</t>
  </si>
  <si>
    <t>target Weight</t>
  </si>
  <si>
    <t>Gender</t>
  </si>
  <si>
    <t>female</t>
  </si>
  <si>
    <t>adjusted</t>
  </si>
  <si>
    <t>male</t>
  </si>
  <si>
    <t>pregnant</t>
  </si>
  <si>
    <t>lactating</t>
  </si>
  <si>
    <t>th(3-18)</t>
  </si>
  <si>
    <t>th</t>
  </si>
  <si>
    <t>Weeks of pregnancy</t>
  </si>
  <si>
    <t>Months of lactation</t>
  </si>
  <si>
    <t>male &gt;19y</t>
  </si>
  <si>
    <t>male(3:18y)(&gt;85 th)</t>
  </si>
  <si>
    <t>female(3:18y)(&gt;85 th)</t>
  </si>
  <si>
    <t>pal</t>
  </si>
  <si>
    <t>sedentry</t>
  </si>
  <si>
    <t>active</t>
  </si>
  <si>
    <t>v.active</t>
  </si>
  <si>
    <t>low active</t>
  </si>
  <si>
    <t>female(3:18y), pregnant &amp; lactating (14:18y) (5:85 th)</t>
  </si>
  <si>
    <t>male(3:18y)(5:85 th)</t>
  </si>
  <si>
    <t>female, pregnant &amp; lactating (&gt;19y)</t>
  </si>
  <si>
    <t>between meals</t>
  </si>
  <si>
    <t>food</t>
  </si>
  <si>
    <t>برنامج خاص بحساب الاحتياجات اليومية المثلى للفرد (العادي-المريض) من سن يوم حتى 65 عام وفقا للسن والوزن والطول ومعامل النشاط ملحق به صفحة لحساب كمية الكربوهيدرات المثلى لمرضى السكرى.</t>
  </si>
  <si>
    <t>ويتم فيها كتابة الطول بالسنتيمتر.</t>
  </si>
  <si>
    <t>ويتم فيها كتابة الوزن الفعلي بالكيلو جرام.</t>
  </si>
  <si>
    <t>وهى خاصة بحساب الاحتياجات للذكور</t>
  </si>
  <si>
    <t xml:space="preserve">وهى خاصة بحساب الاحتياجات للإناث </t>
  </si>
  <si>
    <t>وهى خاصة بحساب الاحتياجات للمرأة الحامل</t>
  </si>
  <si>
    <t>وهى خاصة بحساب الاحتياجات للام المرضع</t>
  </si>
  <si>
    <t>*(ملحوظة)*</t>
  </si>
  <si>
    <t>هي خلية خاصة بكتابة أسابيع الحمل وهى خاصة بفئة الحوامل فقط لذلك لا تظهر الا في حالة اختيار  الفئة (pregnant).</t>
  </si>
  <si>
    <t>وهى خاصة بكتابة اشهر الرضاعة وهى خاصة بفئة المرضع فقط لذلك لا تظهر الا في حالة اختيار الفئة (lactating).</t>
  </si>
  <si>
    <t>Created by Dr/ Mohamed Saleh Ismael.Edited by/ Marwa Gamal Abd EL-Nasser &amp; Mohamed EL-Mehrath.</t>
  </si>
  <si>
    <t>Created by Dr/ Mohamed Saleh Ismael.Edited by/ Marwa Gamal Abdelnaser &amp; Mohamed EL-Mehrath.</t>
  </si>
  <si>
    <t>من 0 : 6 شهور</t>
  </si>
  <si>
    <t>من 7 : 12 شهور</t>
  </si>
  <si>
    <t>من 13 : 24 شهور</t>
  </si>
  <si>
    <t>من 2 : 3 عام</t>
  </si>
  <si>
    <t>من 3 : 8 عام</t>
  </si>
  <si>
    <t>من 9 : 18 عام</t>
  </si>
  <si>
    <t>مراهق في طفرة النمو</t>
  </si>
  <si>
    <t>حامل مراهقة</t>
  </si>
  <si>
    <t>حامل بالغة</t>
  </si>
  <si>
    <t>مرضع مراهقة</t>
  </si>
  <si>
    <t>مرضع بالغة</t>
  </si>
  <si>
    <t>يتم إضافة 25 جرام بروتين في حالة الحامل و 20 جرام في حالة المرضع ويقوم البرنامج باضافتها تلقائيا.</t>
  </si>
  <si>
    <t>اكبر من 19 عام</t>
  </si>
  <si>
    <t>من 1 الى 1.5</t>
  </si>
  <si>
    <t>يتم ادخال البيانات (يدويا) الى البرنامج على النحو التالى لاستخدامها في حساب الطاقة:-</t>
  </si>
  <si>
    <t xml:space="preserve">يتم حساب السعرات الكلية وفقا للمدخلات السابقة حيث يتم حسابها كالتالى </t>
  </si>
  <si>
    <t>من 0 : 3 شهور</t>
  </si>
  <si>
    <t xml:space="preserve">(89 X وزن الرضيع بالكيلو جرام – 100) +175 </t>
  </si>
  <si>
    <t>(89 X وزن الرضيع بالكيلو جرام – 100) +56</t>
  </si>
  <si>
    <t xml:space="preserve">(89 X وزن الرضيع بالكيلو جرام – 100) +22 </t>
  </si>
  <si>
    <t xml:space="preserve">(89 X وزن الرضيع بالكيلو جرام – 100) +20 </t>
  </si>
  <si>
    <t>من 4 : 6 شهور</t>
  </si>
  <si>
    <t>من 6 الى 12 شهر</t>
  </si>
  <si>
    <t>من 12 الى 35 شهر</t>
  </si>
  <si>
    <t>ذكور من عمر 3 : 8 عام من 5 : 85 مئنى</t>
  </si>
  <si>
    <t>ذكور من عمر 9 : 18 عام من 5 : 85 مئنى</t>
  </si>
  <si>
    <t>ذكور من عمر 3 : 18 عام  اصغر من 5 مئنى</t>
  </si>
  <si>
    <t>ذكور من عمر 3 : 18 عام  اكبر من 85 مئنى</t>
  </si>
  <si>
    <t>88.5 -(61.9 X العمر بالسنة) + "معامل النشاط " X 26.7 X (الوزن بالكيلوجرام + 903 X الطول بالمتر) +520</t>
  </si>
  <si>
    <t>88.5 -(61.9 X العمر بالسنة) + "معامل النشاط " X 26.7 X الوزن بالكيلوجرام + 903 X الطول بالمتر) +25</t>
  </si>
  <si>
    <t>88.5 -(61.9 X العمر بالسنة) + "معامل النشاط " X 26.7 X الوزن بالكيلوجرام + 903 X الطول بالمتر) +20</t>
  </si>
  <si>
    <t xml:space="preserve">ذكور اكبر من 19 سنة </t>
  </si>
  <si>
    <t xml:space="preserve"> (٦٦٢ - (٩.٥٣ × العمر بالعام)) + (معامل النشاط ×  ((١٥.٩١ × الوزن المستهدف بالكيلوجرام)+ (٥٣٩.٦ × الطول بالمتر)))    
</t>
  </si>
  <si>
    <t xml:space="preserve">(١١٤ - (٥٠.٩ × العمر بالسنة) + معامل النشاط × (١٩.٥ × الوزن بالكيلو جرام + (١١٦١.٤ × الطول (متر)))
</t>
  </si>
  <si>
    <t>اناث من عمر 3 : 8 عام من 5 : 85 مئنى</t>
  </si>
  <si>
    <t>اناث من عمر 9 : 18 عام من 5 : 85 مئنى</t>
  </si>
  <si>
    <t>اناث من عمر 3 : 18 عام  اصغر من 5 مئنى</t>
  </si>
  <si>
    <t>اناث من عمر 3 : 18 عام  اكبر من 85 مئنى</t>
  </si>
  <si>
    <t xml:space="preserve">اناث اكبر من 19 سنة </t>
  </si>
  <si>
    <t xml:space="preserve"> {١٣٥.٥ - (٣٠.٨ × العمر (عام))} + {النشاط البدني ×  [(١٠.٠ × الوزن (كجم))
   + (٩٣٤ × الطول (متر))]} + ٢٠    
</t>
  </si>
  <si>
    <t xml:space="preserve"> {١٣٥.٥ - (٣٠.٨ × العمر (عام))} + {النشاط البدني ×  [(١٠.٠ × الوزن (كجم))
   + (٩٣٤ × الطول (متر))]} + ٢٥    
</t>
  </si>
  <si>
    <t xml:space="preserve">{١٣٥.٥ - (٣٠.٨ × العمر (عام))} + {النشاط البدني ×  [(١٠.٠ × الوزن (كجم))
   + (٩٣٤ × الطول (متر))]} + 520    
</t>
  </si>
  <si>
    <t xml:space="preserve">{٣٥٤ - (٦.٩١ × العمر (عام))} + {النشاط البدني ×  [(٩.٣٦ × الوزن المستهدف بالكيلوجرام)+ (٧٢٦ × الطول (متر))]}      
</t>
  </si>
  <si>
    <t xml:space="preserve">{٣٨٩ - (٤١.٢ × العمر (عام))} + {النشاط البدني ×  [(١٥.٠ × الوزن (كجم))
   + (٧٠١.٦ × الطول (متر))]}      
</t>
  </si>
  <si>
    <t>حامل مراهقة قبل الأسبوع 20</t>
  </si>
  <si>
    <t>حامل مراهقة بعد الأسبوع 20</t>
  </si>
  <si>
    <t>حامل بالغة قبل الأسبوع 20</t>
  </si>
  <si>
    <t>حامل بالغة بعد الأسبوع 20</t>
  </si>
  <si>
    <t xml:space="preserve"> {١٣٥.٥ - (٣٠.٨ × العمر (عام))} + {النشاط البدني ×  [(١٠.٠ × الوزن (كجم))
   + (٩٣٤ × الطول (متر))]} + (8 * عدد أسابيع الحمل +205</t>
  </si>
  <si>
    <t>{٣٥٤ - (٦.٩١ × العمر (عام))} + {النشاط البدني ×  [(٩.٣٦ × الوزن المستهدف بالكيلوجرام)+ (٧٢٦ × الطول (متر))]}+(8 * عدد أسابيع الحمل +180</t>
  </si>
  <si>
    <t>حامل مراهقة قبل الأسبوع 20(نحافة)</t>
  </si>
  <si>
    <t>حامل مراهقة بعد الأسبوع 20(نحافة)</t>
  </si>
  <si>
    <t>حامل بالغة بعد الأسبوع 20(نحافة)</t>
  </si>
  <si>
    <t>حامل بالغة قبل الأسبوع 20(نحافة)</t>
  </si>
  <si>
    <t xml:space="preserve"> {١٣٥.٥ - (٣٠.٨ × العمر (عام))} + {النشاط البدني ×  [(١٠.٠ × الوزن (كجم))
   + (٩٣٤ × الطول (متر))]} +525</t>
  </si>
  <si>
    <t xml:space="preserve"> {١٣٥.٥ - (٣٠.٨ × العمر (عام))} + {النشاط البدني ×  [(١٠.٠ × الوزن (كجم))
   + (٩٣٤ × الطول (متر))]} + (8 * عدد أسابيع الحمل +705</t>
  </si>
  <si>
    <t>{٣٥٤ - (٦.٩١ × العمر (عام))} + {النشاط البدني ×  [(٩.٣٦ × الوزن  بالكيلوجرام)+ (٧٢٦ × الطول (متر))]}+(8 * عدد أسابيع الحمل +180</t>
  </si>
  <si>
    <t xml:space="preserve">{٣٥٤ - (٦.٩١ × العمر (عام))} + {النشاط البدني ×  [(٩.٣٦ × الوزن  بالكيلوجرام)+ (٧٢٦ × الطول (متر))]}      
</t>
  </si>
  <si>
    <t>مرضع مراهقة قبل الشهر 6</t>
  </si>
  <si>
    <t>مرضع مراهقة بعد الشهر 6</t>
  </si>
  <si>
    <t>مرضع بالغة قبل الشهر 6</t>
  </si>
  <si>
    <t>مرضع بالغة بعد الشهر 6</t>
  </si>
  <si>
    <t>مرضع مراهقة قبل الشهر 6(نحافة)</t>
  </si>
  <si>
    <t>مرضع مراهقة بعد الشهر 6(نحافة)</t>
  </si>
  <si>
    <t>مرضع بالغة قبل الشهر 6(نحافة)</t>
  </si>
  <si>
    <t>مرضع بالغة بعد الشهر 6(نحافة)</t>
  </si>
  <si>
    <t xml:space="preserve"> {١٣٥.٥ - (٣٠.٨ × العمر (عام))} + {النشاط البدني ×  [(١٠.٠ × الوزن (كجم))
   + (٩٣٤ × الطول (متر))]} + 355    
</t>
  </si>
  <si>
    <t xml:space="preserve"> {١٣٥.٥ - (٣٠.٨ × العمر (عام))} + {النشاط البدني ×  [(١٠.٠ × الوزن (كجم))
   + (٩٣٤ × الطول (متر))]} + 425</t>
  </si>
  <si>
    <t>{٣٥٤ - (٦.٩١ × العمر (عام))} + {النشاط البدني ×  [(٩.٣٦ × الوزن  بالكيلوجرام)+ (٧٢٦ × الطول (متر))]}+330</t>
  </si>
  <si>
    <t>{٣٥٤ - (٦.٩١ × العمر (عام))} + {النشاط البدني ×  [(٩.٣٦ × الوزن  بالكيلوجرام)+ (٧٢٦ × الطول (متر))]}+400</t>
  </si>
  <si>
    <t xml:space="preserve"> {١٣٥.٥ - (٣٠.٨ × العمر (عام))} + {النشاط البدني ×  [(١٠.٠ × الوزن (كجم))
   + (٩٣٤ × الطول (متر))]} +755</t>
  </si>
  <si>
    <t xml:space="preserve"> {١٣٥.٥ - (٣٠.٨ × العمر (عام))} + {النشاط البدني ×  [(١٠.٠ × الوزن (كجم))
   + (٩٣٤ × الطول (متر))]} + 925</t>
  </si>
  <si>
    <t>{٣٥٤ - (٦.٩١ × العمر (عام))} + {النشاط البدني ×  [(٩.٣٦ × الوزن المستهدف بالكيلوجرام)+ (٧٢٦ × الطول (متر))]}+330</t>
  </si>
  <si>
    <t>{٣٥٤ - (٦.٩١ × العمر (عام))} + {النشاط البدني ×  [(٩.٣٦ × الوزن المستهدف بالكيلوجرام)+ (٧٢٦ × الطول (متر))]}+400</t>
  </si>
  <si>
    <t>يتم تقسم الكربوهيدرات الى بسيطة ومعقدة بحيث يحصل الشخص على ثلث احتياجاتة من الكربوهيدرات (سكريات بسيطة ) وثلثين (كربوهيدرات معقدة )</t>
  </si>
  <si>
    <t xml:space="preserve">© 2008. American Dietetics Association. </t>
  </si>
  <si>
    <t>© 2008. American Dietetics Association.</t>
  </si>
  <si>
    <t xml:space="preserve">هذه المعادلات مأخوذة من معهد الطب الأمريكي (Institute of Medicine) وهيئة الغذاء والتغذية الأمريكية (Food and Nutrition Board). التوصيات التغذوية المثالية للسعرات والكربوهيدرات والألياف والدهون والأحماض الدهنية والكولسترول والبروتين والأحماض الأمينية. واشنطن ٢٠٠٢. مطابع الأكاديمية القومية الأمريكية (www.nap.edu.).
* كمية السعرات الكلية المنصرفة هي متوسط المأخوذ من السعرات اللازمة للمحافظة على ميزان السعرات للبالغين الأصحاء والتي تعتمد على العمر والجنس والوزن والطول ومقدار النشاط البدني وهي صممت بحيث تساعد في المحافظة على الصحة الجيدة. وبالنسبة للأطفال والحوامل والمراضع فقد تم حساب السعرات على أساس السعرات المطلوبة للنمو أو إفراز اللبن بالمقدار الذي يحافظ على صحة جيدة للفرد.
† السعرات الكلية التي يتم حسابها بهذه المعادلات عبارة عن مجموع طاقة الأيض القاعدي وطاقة النشاط البدني والأثر الحراري للطعام
</t>
  </si>
  <si>
    <t xml:space="preserve">عدد البدائل      </t>
  </si>
  <si>
    <t>الوجبه</t>
  </si>
  <si>
    <t>الافطار</t>
  </si>
  <si>
    <t xml:space="preserve">بين الوجبتين             </t>
  </si>
  <si>
    <t>الغداء</t>
  </si>
  <si>
    <t>العشاء</t>
  </si>
  <si>
    <t xml:space="preserve">قبل النوم              </t>
  </si>
  <si>
    <t xml:space="preserve">ويتم فيها ادخال العمر بالعام واذا كان العمر بالشهر يتم كتابة عدد الأشهر مقسومة على 12 عن طريق علامة القسمة (/) مثال اذا كان العمر 7 اشهر يتم كتابتها كما يلى : 7/12 </t>
  </si>
  <si>
    <t xml:space="preserve"> لا يتم اختيار فئة للأطفال والرضع من عمر يوم حتى 3 سنوات لذلك لا تظهر هذه الخلية اذا كان العمر اقل من 3 سنوات.</t>
  </si>
  <si>
    <t>ويتم فيها اختيار الجنس او (الفئة) من القائمة المنسدلة والتي تحتوى على 4 فئات هي:</t>
  </si>
  <si>
    <t>ذكور</t>
  </si>
  <si>
    <t>اناث</t>
  </si>
  <si>
    <t>امراة حامل</t>
  </si>
  <si>
    <t>امراة مرضع</t>
  </si>
  <si>
    <t>ويتم فيها اختيار النشاط من القائمة المنسدلة والتي تحتوى على 4 قيم متغيرة طبقا للجنس وحالة وزن الجسم سواء (طبيعى او نحافة او سمنة) وأيضا النشاط اليومي سواء (قعيد - ضعيف - نشط - نشط جدا ) وفقا للجدول التالى :</t>
  </si>
  <si>
    <t xml:space="preserve"> لا يتم اختيار نشاط للأطفال من عمر يوم حتى 3 سنوات لذلك لا تظهر الخلية اذا كان العمر اقل من 3 سنوات.</t>
  </si>
  <si>
    <t>وهى خاصة بكتابة الدرجة المئنية للأطفال والمراهقين من عمر 3 سنوات حتى 19 سنة لذلك لا تظهر اذا كان العمر اكبر من 19 عام او اقل من 3 سنوات.</t>
  </si>
  <si>
    <t>وهى خلية خاصة بكتابة قيمة البروتين المطلوبة يوميا لكل كيلو جرام من وزن الجسم المستهدف حيث تختلف من شخص لاخر حسب العمر (بالنسبة للمرضي يجب تحديدها طبقا لكل مرض علي حده) وفقا للجدول التالى:</t>
  </si>
  <si>
    <t>وهى خاصة بكتابة النسبة المئوية للدهون من اجمالى الطاقة الكلية التي يحتاجها الجسم وتتراوح غالبا بين 20 و 25 % (ويمكن ان تزيد او تنقص تبعا للحالة المرضية)</t>
  </si>
  <si>
    <r>
      <t xml:space="preserve">وهى خلية محسوبة يقوم البرنامج بوضع الوزن المستهدف فيها تلقائيا ويتم ذلك من خلال حساب النسبة المئوية للوزن الفعلى نسبة الى الوزن المثالى بحيث اذا كانت النسبة اكبر من 130% او اقل من 70 % يتم احتساب الوزن (adjusted body weight) 
فاذا كان النوع ذكر يكون القانون كالتالى : 
</t>
    </r>
    <r>
      <rPr>
        <b/>
        <sz val="14"/>
        <color rgb="FF000000"/>
        <rFont val="Calibri"/>
        <family val="2"/>
        <scheme val="minor"/>
      </rPr>
      <t xml:space="preserve">(الوزن الفعلى- الوزن المثالى) مضروبا في 0.38 + الوزن المثالى 
</t>
    </r>
    <r>
      <rPr>
        <sz val="14"/>
        <color rgb="FF000000"/>
        <rFont val="Calibri"/>
        <family val="2"/>
        <scheme val="minor"/>
      </rPr>
      <t xml:space="preserve">واذا كانت انثى يكون كالتالى : </t>
    </r>
    <r>
      <rPr>
        <b/>
        <sz val="14"/>
        <color rgb="FF000000"/>
        <rFont val="Calibri"/>
        <family val="2"/>
        <scheme val="minor"/>
      </rPr>
      <t xml:space="preserve">
(الوزن الفعلى- الوزن المثالى) مضروبا في 0.32 + الوزن المثالى</t>
    </r>
    <r>
      <rPr>
        <sz val="14"/>
        <color rgb="FF000000"/>
        <rFont val="Calibri"/>
        <family val="2"/>
        <scheme val="minor"/>
      </rPr>
      <t xml:space="preserve">  
اما اذا كانت النسبة بين 70 و130 فيتم استخدام الى الوزن الصحى والذى يقع بين كتلة جسم (BMI) ١٨.٥ الي ٢٥، أما اذا كانت  اكبر من ٢٥ فيتم حساب الحد الاقصى للوزن الصحى واذا كانت اقل من ١٨.٥ فيتم حساب الحد الادنى للوزن الصحى واذا كانت بينهما يتم حساب الوزن المثالى حيث ان:
</t>
    </r>
    <r>
      <rPr>
        <b/>
        <sz val="14"/>
        <color rgb="FF000000"/>
        <rFont val="Calibri"/>
        <family val="2"/>
        <scheme val="minor"/>
      </rPr>
      <t xml:space="preserve">الحد الادنى للوزن = 18.5 مضروبا في مربع الطول بالمتر                                                                                         الحد الاقصى    = 25 مضروبا في مربع الطول بالمتر  
    الوزن المثالى      = 21.75 مضروبا في مربع الطول بالمتر </t>
    </r>
  </si>
  <si>
    <t>Group</t>
  </si>
  <si>
    <t>Bedtime Meal</t>
  </si>
  <si>
    <t>Food</t>
  </si>
  <si>
    <t>Foods</t>
  </si>
  <si>
    <t>Type (1 serving)</t>
  </si>
  <si>
    <t>Measure</t>
  </si>
  <si>
    <t>Wt. (g)</t>
  </si>
  <si>
    <t>Starchy</t>
  </si>
  <si>
    <t>-</t>
  </si>
  <si>
    <t>Cerals &amp; Grains</t>
  </si>
  <si>
    <t>Starchy Vege.</t>
  </si>
  <si>
    <t>Crackers &amp; Snacks</t>
  </si>
  <si>
    <t xml:space="preserve">Milk </t>
  </si>
  <si>
    <t>Skim</t>
  </si>
  <si>
    <t>Med. fat</t>
  </si>
  <si>
    <t xml:space="preserve">Meats </t>
  </si>
  <si>
    <t>Beverages, Soda, and Energy/Sports Drinks</t>
  </si>
  <si>
    <t>Brownies, Cake, Cookies, Gelatin, Pie, and Pudding</t>
  </si>
  <si>
    <t>Candy, Spreads, Sweets, Sweeteners, Syrups, and Toppings</t>
  </si>
  <si>
    <t>Condiments and Sauces</t>
  </si>
  <si>
    <t>Doughnuts, Muffins, Pastries, and Sweet Breads</t>
  </si>
  <si>
    <t>Frozen Bars, Frozen Desserts, Frozen Yogurt, and Ice Cream</t>
  </si>
  <si>
    <t>Granola Bars, Meal Replacement Bars/Shakes, and Trail Mix</t>
  </si>
  <si>
    <t>Vege.</t>
  </si>
  <si>
    <t>Cooked</t>
  </si>
  <si>
    <t>Fresh</t>
  </si>
  <si>
    <t>Dried Fruits</t>
  </si>
  <si>
    <t>Fresh Juices</t>
  </si>
  <si>
    <t>MUFA</t>
  </si>
  <si>
    <t>PUFA</t>
  </si>
  <si>
    <t>SFA</t>
  </si>
  <si>
    <t>Low Carb. Foods</t>
  </si>
  <si>
    <t>Fat Foods with Carb</t>
  </si>
  <si>
    <t>Condiments</t>
  </si>
  <si>
    <t>Free Snacks</t>
  </si>
  <si>
    <t>Drinks/Mixes</t>
  </si>
  <si>
    <t>Seasonings</t>
  </si>
  <si>
    <t>Between Meals</t>
  </si>
  <si>
    <t xml:space="preserve">برنامج تخطيط الوجبات باستخدام نظام البدائل </t>
  </si>
  <si>
    <t>Range</t>
  </si>
  <si>
    <t>minimum</t>
  </si>
  <si>
    <t>maximum</t>
  </si>
  <si>
    <t>5-6</t>
  </si>
  <si>
    <t>14-18</t>
  </si>
  <si>
    <t>palance</t>
  </si>
  <si>
    <t>maximum 2 servings of legumes</t>
  </si>
  <si>
    <r>
      <rPr>
        <b/>
        <sz val="22"/>
        <color rgb="FF000000"/>
        <rFont val="Cambria"/>
        <family val="1"/>
        <scheme val="major"/>
      </rPr>
      <t>إعداد</t>
    </r>
    <r>
      <rPr>
        <sz val="18"/>
        <color rgb="FF000000"/>
        <rFont val="Cambria"/>
        <family val="1"/>
        <scheme val="major"/>
      </rPr>
      <t xml:space="preserve">
</t>
    </r>
    <r>
      <rPr>
        <b/>
        <sz val="36"/>
        <rFont val="Cambria"/>
        <family val="1"/>
        <scheme val="major"/>
      </rPr>
      <t xml:space="preserve"> أ.د/ محمد صالح إسماعيل </t>
    </r>
    <r>
      <rPr>
        <sz val="18"/>
        <rFont val="Cambria"/>
        <family val="1"/>
        <scheme val="major"/>
      </rPr>
      <t xml:space="preserve">
أستاذ التغذية - قسم التغذية وعلوم الأطعمة 
كلية الاقتصاد المنزلى - جامعة المنوفية - مصر 
</t>
    </r>
    <r>
      <rPr>
        <b/>
        <sz val="22"/>
        <rFont val="Cambria"/>
        <family val="1"/>
        <scheme val="major"/>
      </rPr>
      <t xml:space="preserve">بالتعاون مع </t>
    </r>
    <r>
      <rPr>
        <sz val="18"/>
        <rFont val="Cambria"/>
        <family val="1"/>
        <scheme val="major"/>
      </rPr>
      <t xml:space="preserve">
</t>
    </r>
    <r>
      <rPr>
        <b/>
        <sz val="28"/>
        <rFont val="Cambria"/>
        <family val="1"/>
        <scheme val="major"/>
      </rPr>
      <t xml:space="preserve">أ/ زيد بن حبيلان الشرارى </t>
    </r>
    <r>
      <rPr>
        <sz val="18"/>
        <rFont val="Cambria"/>
        <family val="1"/>
        <scheme val="major"/>
      </rPr>
      <t xml:space="preserve"> 
قسم علوم الأغذية وتغذية الإنسان  
كلية الزراعة والطب البيطري - جامعة القصيم - السعودية  
</t>
    </r>
    <r>
      <rPr>
        <b/>
        <sz val="26"/>
        <rFont val="Cambria"/>
        <family val="1"/>
        <scheme val="major"/>
      </rPr>
      <t xml:space="preserve">مروة جمال عبد الناصر عبده  </t>
    </r>
    <r>
      <rPr>
        <sz val="18"/>
        <rFont val="Cambria"/>
        <family val="1"/>
        <scheme val="major"/>
      </rPr>
      <t xml:space="preserve">
طالبة بالفرقة الرابعة قسم التغذية وعلوم الاطعمة  
كلية الاقتصاد المنزلى - جامعة المنوفية - مصر </t>
    </r>
    <r>
      <rPr>
        <sz val="18"/>
        <color rgb="FF000000"/>
        <rFont val="Cambria"/>
        <family val="1"/>
        <scheme val="major"/>
      </rPr>
      <t xml:space="preserve"> 
</t>
    </r>
    <r>
      <rPr>
        <b/>
        <sz val="28"/>
        <color rgb="FF000000"/>
        <rFont val="Cambria"/>
        <family val="1"/>
        <scheme val="major"/>
      </rPr>
      <t xml:space="preserve">محمد حسين محمد المحراث </t>
    </r>
    <r>
      <rPr>
        <sz val="18"/>
        <color rgb="FF000000"/>
        <rFont val="Cambria"/>
        <family val="1"/>
        <scheme val="major"/>
      </rPr>
      <t xml:space="preserve">
طالب بالفرقة الرابعة قسم التغذية وعلوم الاطعمة  
كلية الاقتصاد المنزلى - جامعة المنوفية - مصر 
</t>
    </r>
    <r>
      <rPr>
        <b/>
        <sz val="20"/>
        <color rgb="FF000000"/>
        <rFont val="Cambria"/>
        <family val="1"/>
        <scheme val="major"/>
      </rPr>
      <t>2019</t>
    </r>
    <r>
      <rPr>
        <sz val="18"/>
        <color rgb="FF000000"/>
        <rFont val="Cambria"/>
        <family val="1"/>
        <scheme val="major"/>
      </rPr>
      <t xml:space="preserve"> </t>
    </r>
  </si>
  <si>
    <t>:</t>
  </si>
  <si>
    <t>hypertension or diabeteic</t>
  </si>
  <si>
    <t>less than normal</t>
  </si>
  <si>
    <r>
      <t>DIABETES 0 Years and Older (</t>
    </r>
    <r>
      <rPr>
        <b/>
        <sz val="26"/>
        <color rgb="FF00FF00"/>
        <rFont val="Calibri"/>
        <family val="2"/>
      </rPr>
      <t>v</t>
    </r>
    <r>
      <rPr>
        <b/>
        <sz val="20"/>
        <color rgb="FF00FF00"/>
        <rFont val="Calibri"/>
        <family val="2"/>
      </rPr>
      <t>4.10)</t>
    </r>
  </si>
  <si>
    <t>Fish cooked 28g</t>
  </si>
  <si>
    <t>Egg white 2</t>
  </si>
  <si>
    <t>Yogurt flavored 2/3c (150g)</t>
  </si>
  <si>
    <t>2/3c</t>
  </si>
  <si>
    <t>Milk 1c</t>
  </si>
  <si>
    <t>Rice wild cooked 1/2</t>
  </si>
  <si>
    <t>c</t>
  </si>
  <si>
    <t>1/2c</t>
  </si>
  <si>
    <t>بديل نشويات+ بديل لبن</t>
  </si>
  <si>
    <t>رز بلبن (نص كوب رز-كوب لبن)</t>
  </si>
  <si>
    <t>Dried fruits mixed 2Tbsp</t>
  </si>
  <si>
    <t>5tbsp</t>
  </si>
  <si>
    <t>5معالق فواكهه مجففة</t>
  </si>
  <si>
    <t>2ونص بديل فاكهه</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</si>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</sst>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72">
    <font>
      <sz val="11"/>
      <color rgb="FF000000"/>
      <name val="Calibri"/>
    </font>
    <font>
      <sz val="11"/>
      <color theme="1"/>
      <name val="Calibri"/>
      <family val="2"/>
      <charset val="178"/>
      <scheme val="minor"/>
    </font>
    <font>
      <sz val="11"/>
      <color theme="1"/>
      <name val="Calibri"/>
      <family val="2"/>
      <charset val="178"/>
      <scheme val="minor"/>
    </font>
    <font>
      <sz val="11"/>
      <color theme="1"/>
      <name val="Calibri"/>
      <family val="2"/>
      <charset val="178"/>
      <scheme val="minor"/>
    </font>
    <font>
      <sz val="11"/>
      <name val="Calibri"/>
    </font>
    <font>
      <b/>
      <sz val="12"/>
      <color rgb="FF1F497D"/>
      <name val="Calibri"/>
    </font>
    <font>
      <sz val="12"/>
      <color rgb="FF000000"/>
      <name val="Calibri"/>
    </font>
    <font>
      <sz val="12"/>
      <color rgb="FF1F497D"/>
      <name val="Calibri"/>
    </font>
    <font>
      <b/>
      <sz val="14"/>
      <color rgb="FF000000"/>
      <name val="Calibri"/>
    </font>
    <font>
      <sz val="14"/>
      <color rgb="FF000000"/>
      <name val="Calibri"/>
    </font>
    <font>
      <b/>
      <sz val="15"/>
      <color theme="3"/>
      <name val="Calibri"/>
      <family val="2"/>
      <charset val="178"/>
      <scheme val="minor"/>
    </font>
    <font>
      <b/>
      <sz val="13"/>
      <color theme="3"/>
      <name val="Calibri"/>
      <family val="2"/>
      <charset val="178"/>
      <scheme val="minor"/>
    </font>
    <font>
      <sz val="11"/>
      <color rgb="FF006100"/>
      <name val="Calibri"/>
      <family val="2"/>
      <charset val="178"/>
      <scheme val="minor"/>
    </font>
    <font>
      <b/>
      <sz val="12"/>
      <color theme="3"/>
      <name val="Calibri"/>
      <family val="2"/>
      <scheme val="minor"/>
    </font>
    <font>
      <b/>
      <sz val="12"/>
      <name val="Calibri"/>
      <family val="2"/>
      <scheme val="minor"/>
    </font>
    <font>
      <b/>
      <sz val="12"/>
      <color rgb="FF1F497D"/>
      <name val="Arial"/>
      <family val="2"/>
    </font>
    <font>
      <b/>
      <sz val="12"/>
      <color rgb="FF000000"/>
      <name val="Arial"/>
      <family val="2"/>
    </font>
    <font>
      <b/>
      <sz val="12"/>
      <color rgb="FF006100"/>
      <name val="Arial"/>
      <family val="2"/>
    </font>
    <font>
      <b/>
      <sz val="12"/>
      <name val="Arial"/>
      <family val="2"/>
    </font>
    <font>
      <b/>
      <sz val="12"/>
      <color rgb="FF1F497D"/>
      <name val="Calibri"/>
      <family val="2"/>
      <scheme val="minor"/>
    </font>
    <font>
      <b/>
      <sz val="12"/>
      <color rgb="FF000000"/>
      <name val="Calibri"/>
      <family val="2"/>
      <scheme val="minor"/>
    </font>
    <font>
      <sz val="12"/>
      <color theme="1"/>
      <name val="Calibri"/>
      <family val="2"/>
      <scheme val="minor"/>
    </font>
    <font>
      <b/>
      <sz val="14"/>
      <color rgb="FF006100"/>
      <name val="Calibri"/>
      <family val="2"/>
      <scheme val="minor"/>
    </font>
    <font>
      <b/>
      <sz val="11"/>
      <name val="Calibri"/>
      <family val="2"/>
      <scheme val="minor"/>
    </font>
    <font>
      <b/>
      <sz val="11"/>
      <color rgb="FF000000"/>
      <name val="Calibri"/>
      <family val="2"/>
      <scheme val="minor"/>
    </font>
    <font>
      <sz val="11"/>
      <color rgb="FF9C5700"/>
      <name val="Calibri"/>
      <family val="2"/>
      <charset val="178"/>
      <scheme val="minor"/>
    </font>
    <font>
      <b/>
      <sz val="10"/>
      <color rgb="FF000000"/>
      <name val="Calibri"/>
      <family val="2"/>
      <charset val="178"/>
    </font>
    <font>
      <b/>
      <sz val="10"/>
      <name val="Calibri"/>
      <family val="2"/>
      <scheme val="minor"/>
    </font>
    <font>
      <b/>
      <sz val="20"/>
      <color rgb="FF00FF00"/>
      <name val="Calibri"/>
      <family val="2"/>
    </font>
    <font>
      <b/>
      <sz val="12"/>
      <color theme="1"/>
      <name val="Calibri"/>
      <family val="2"/>
      <scheme val="minor"/>
    </font>
    <font>
      <b/>
      <sz val="15"/>
      <color rgb="FF1F497D"/>
      <name val="Calibri"/>
      <family val="2"/>
    </font>
    <font>
      <b/>
      <sz val="14"/>
      <color rgb="FF1F497D"/>
      <name val="Calibri"/>
      <family val="2"/>
    </font>
    <font>
      <b/>
      <sz val="16"/>
      <color rgb="FF1F497D"/>
      <name val="Calibri"/>
      <family val="2"/>
    </font>
    <font>
      <sz val="12"/>
      <color rgb="FF1F497D"/>
      <name val="Calibri"/>
      <family val="2"/>
    </font>
    <font>
      <b/>
      <sz val="14"/>
      <color theme="3"/>
      <name val="Calibri"/>
      <family val="2"/>
      <scheme val="minor"/>
    </font>
    <font>
      <b/>
      <sz val="16"/>
      <name val="Calibri"/>
      <family val="2"/>
    </font>
    <font>
      <b/>
      <sz val="14"/>
      <name val="Calibri"/>
      <family val="2"/>
      <scheme val="minor"/>
    </font>
    <font>
      <b/>
      <sz val="10"/>
      <color rgb="FF1F497D"/>
      <name val="Calibri"/>
      <family val="2"/>
      <scheme val="minor"/>
    </font>
    <font>
      <b/>
      <sz val="12"/>
      <name val="Calibri"/>
      <family val="2"/>
    </font>
    <font>
      <sz val="8"/>
      <name val="Calibri"/>
    </font>
    <font>
      <b/>
      <sz val="12"/>
      <color theme="1" tint="0.34998626667073579"/>
      <name val="Calibri"/>
      <family val="2"/>
      <scheme val="minor"/>
    </font>
    <font>
      <b/>
      <sz val="14"/>
      <color rgb="FF00FF00"/>
      <name val="Calibri"/>
      <family val="2"/>
    </font>
    <font>
      <sz val="11"/>
      <color rgb="FF000000"/>
      <name val="Calibri"/>
    </font>
    <font>
      <b/>
      <sz val="11"/>
      <color rgb="FF3F3F3F"/>
      <name val="Calibri"/>
      <family val="2"/>
      <charset val="178"/>
      <scheme val="minor"/>
    </font>
    <font>
      <b/>
      <sz val="8"/>
      <color theme="3"/>
      <name val="Calibri"/>
      <family val="2"/>
      <scheme val="minor"/>
    </font>
    <font>
      <b/>
      <sz val="11"/>
      <color theme="1"/>
      <name val="Calibri"/>
      <family val="2"/>
      <scheme val="minor"/>
    </font>
    <font>
      <sz val="11"/>
      <color rgb="FF000000"/>
      <name val="Calibri"/>
      <family val="2"/>
    </font>
    <font>
      <sz val="16"/>
      <color rgb="FF000000"/>
      <name val="Calibri"/>
      <family val="2"/>
    </font>
    <font>
      <sz val="16"/>
      <color rgb="FF000000"/>
      <name val="Calibri"/>
      <family val="2"/>
      <scheme val="minor"/>
    </font>
    <font>
      <sz val="14"/>
      <color rgb="FF000000"/>
      <name val="Calibri"/>
      <family val="2"/>
      <scheme val="minor"/>
    </font>
    <font>
      <b/>
      <sz val="14"/>
      <color rgb="FF000000"/>
      <name val="Calibri"/>
      <family val="2"/>
      <scheme val="minor"/>
    </font>
    <font>
      <b/>
      <sz val="14"/>
      <color rgb="FFFF0000"/>
      <name val="Calibri"/>
      <family val="2"/>
      <scheme val="minor"/>
    </font>
    <font>
      <b/>
      <sz val="16"/>
      <color rgb="FFFF0000"/>
      <name val="Calibri"/>
      <family val="2"/>
      <scheme val="minor"/>
    </font>
    <font>
      <b/>
      <sz val="22"/>
      <color rgb="FF00FF00"/>
      <name val="Arial"/>
      <family val="2"/>
    </font>
    <font>
      <sz val="20"/>
      <color rgb="FF000000"/>
      <name val="Calibri"/>
      <family val="2"/>
    </font>
    <font>
      <sz val="10"/>
      <color theme="1"/>
      <name val="Calibri"/>
      <family val="2"/>
      <scheme val="minor"/>
    </font>
    <font>
      <b/>
      <sz val="10"/>
      <color theme="1"/>
      <name val="Calibri"/>
      <family val="2"/>
      <scheme val="minor"/>
    </font>
    <font>
      <sz val="18"/>
      <color rgb="FF000000"/>
      <name val="Cambria"/>
      <family val="1"/>
      <scheme val="major"/>
    </font>
    <font>
      <b/>
      <sz val="28"/>
      <color rgb="FF000000"/>
      <name val="Cambria"/>
      <family val="1"/>
      <scheme val="major"/>
    </font>
    <font>
      <b/>
      <sz val="22"/>
      <color rgb="FF000000"/>
      <name val="Cambria"/>
      <family val="1"/>
      <scheme val="major"/>
    </font>
    <font>
      <b/>
      <sz val="20"/>
      <color rgb="FF000000"/>
      <name val="Cambria"/>
      <family val="1"/>
      <scheme val="major"/>
    </font>
    <font>
      <b/>
      <sz val="26"/>
      <color rgb="FF00FF00"/>
      <name val="Cambria"/>
      <family val="1"/>
      <charset val="178"/>
      <scheme val="major"/>
    </font>
    <font>
      <b/>
      <sz val="36"/>
      <name val="Cambria"/>
      <family val="1"/>
      <scheme val="major"/>
    </font>
    <font>
      <sz val="18"/>
      <name val="Cambria"/>
      <family val="1"/>
      <scheme val="major"/>
    </font>
    <font>
      <b/>
      <sz val="22"/>
      <name val="Cambria"/>
      <family val="1"/>
      <scheme val="major"/>
    </font>
    <font>
      <b/>
      <sz val="28"/>
      <name val="Cambria"/>
      <family val="1"/>
      <scheme val="major"/>
    </font>
    <font>
      <b/>
      <sz val="26"/>
      <name val="Cambria"/>
      <family val="1"/>
      <scheme val="major"/>
    </font>
    <font>
      <b/>
      <sz val="12"/>
      <color theme="9" tint="-0.499984740745262"/>
      <name val="Calibri"/>
      <family val="2"/>
    </font>
    <font>
      <b/>
      <sz val="12"/>
      <color rgb="FF1F497D"/>
      <name val="Calibri"/>
      <family val="2"/>
    </font>
    <font>
      <b/>
      <sz val="26"/>
      <color rgb="FF00FF00"/>
      <name val="Calibri"/>
      <family val="2"/>
    </font>
    <font>
      <sz val="11"/>
      <color rgb="FF000000"/>
      <name val="Arial"/>
      <family val="2"/>
    </font>
    <font>
      <b/>
      <sz val="20"/>
      <color rgb="FFFF0000"/>
      <name val="Cambria"/>
      <family val="1"/>
      <scheme val="major"/>
    </font>
  </fonts>
  <fills count="49">
    <fill>
      <patternFill patternType="none"/>
    </fill>
    <fill>
      <patternFill patternType="gray125"/>
    </fill>
    <fill>
      <patternFill patternType="solid">
        <fgColor rgb="FFFFFFFF"/>
        <bgColor rgb="FFFFFFFF"/>
      </patternFill>
    </fill>
    <fill>
      <patternFill patternType="solid">
        <fgColor rgb="FFF2F2F2"/>
        <bgColor rgb="FFF2F2F2"/>
      </patternFill>
    </fill>
    <fill>
      <patternFill patternType="solid">
        <fgColor rgb="FFE5B8B7"/>
        <bgColor rgb="FFE5B8B7"/>
      </patternFill>
    </fill>
    <fill>
      <patternFill patternType="solid">
        <fgColor rgb="FFC6EFCE"/>
      </patternFill>
    </fill>
    <fill>
      <patternFill patternType="solid">
        <fgColor rgb="FFF2F2F2"/>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
      <patternFill patternType="solid">
        <fgColor rgb="FFF2F2F2"/>
        <bgColor rgb="FFFFFFFF"/>
      </patternFill>
    </fill>
    <fill>
      <patternFill patternType="solid">
        <fgColor rgb="FFB8CCE4"/>
        <bgColor rgb="FFFFFFFF"/>
      </patternFill>
    </fill>
    <fill>
      <patternFill patternType="solid">
        <fgColor rgb="FFFF0000"/>
        <bgColor rgb="FF000000"/>
      </patternFill>
    </fill>
    <fill>
      <patternFill patternType="solid">
        <fgColor rgb="FFC6EFCE"/>
        <bgColor rgb="FFFFFFFF"/>
      </patternFill>
    </fill>
    <fill>
      <patternFill patternType="solid">
        <fgColor rgb="FF95B3D7"/>
        <bgColor rgb="FFFFFFFF"/>
      </patternFill>
    </fill>
    <fill>
      <patternFill patternType="solid">
        <fgColor rgb="FFDAEEF3"/>
        <bgColor rgb="FFFFFFFF"/>
      </patternFill>
    </fill>
    <fill>
      <patternFill patternType="solid">
        <fgColor rgb="FFDCE6F1"/>
        <bgColor rgb="FFFFFFFF"/>
      </patternFill>
    </fill>
    <fill>
      <patternFill patternType="solid">
        <fgColor rgb="FF66FF33"/>
        <bgColor rgb="FF000000"/>
      </patternFill>
    </fill>
    <fill>
      <patternFill patternType="solid">
        <fgColor rgb="FFFFFF00"/>
        <bgColor rgb="FF000000"/>
      </patternFill>
    </fill>
    <fill>
      <patternFill patternType="solid">
        <fgColor theme="0"/>
        <bgColor indexed="64"/>
      </patternFill>
    </fill>
    <fill>
      <patternFill patternType="solid">
        <fgColor theme="0" tint="-4.9989318521683403E-2"/>
        <bgColor rgb="FFF2F2F2"/>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EB9C"/>
      </patternFill>
    </fill>
    <fill>
      <patternFill patternType="solid">
        <fgColor rgb="FFFCBAFE"/>
        <bgColor indexed="64"/>
      </patternFill>
    </fill>
    <fill>
      <patternFill patternType="solid">
        <fgColor theme="0" tint="-0.14999847407452621"/>
        <bgColor indexed="64"/>
      </patternFill>
    </fill>
    <fill>
      <patternFill patternType="solid">
        <fgColor theme="0" tint="-0.14999847407452621"/>
        <bgColor rgb="FFF2F2F2"/>
      </patternFill>
    </fill>
    <fill>
      <patternFill patternType="solid">
        <fgColor theme="5" tint="0.59999389629810485"/>
        <bgColor indexed="65"/>
      </patternFill>
    </fill>
    <fill>
      <patternFill patternType="solid">
        <fgColor theme="1" tint="0.249977111117893"/>
        <bgColor rgb="FFFFFFFF"/>
      </patternFill>
    </fill>
    <fill>
      <patternFill patternType="solid">
        <fgColor theme="8" tint="0.59999389629810485"/>
        <bgColor rgb="FFF2F2F2"/>
      </patternFill>
    </fill>
    <fill>
      <patternFill patternType="solid">
        <fgColor theme="0"/>
        <bgColor rgb="FFE5B8B7"/>
      </patternFill>
    </fill>
    <fill>
      <patternFill patternType="solid">
        <fgColor rgb="FFFF0000"/>
        <bgColor indexed="64"/>
      </patternFill>
    </fill>
    <fill>
      <patternFill patternType="solid">
        <fgColor rgb="FF00FFFF"/>
        <bgColor indexed="64"/>
      </patternFill>
    </fill>
    <fill>
      <patternFill patternType="solid">
        <fgColor rgb="FF00FFFF"/>
        <bgColor rgb="FFF2DBDB"/>
      </patternFill>
    </fill>
    <fill>
      <patternFill patternType="solid">
        <fgColor theme="9" tint="0.79998168889431442"/>
        <bgColor rgb="FFF2DBDB"/>
      </patternFill>
    </fill>
    <fill>
      <patternFill patternType="solid">
        <fgColor rgb="FF00FE73"/>
        <bgColor indexed="64"/>
      </patternFill>
    </fill>
    <fill>
      <patternFill patternType="solid">
        <fgColor rgb="FFFE829D"/>
        <bgColor indexed="64"/>
      </patternFill>
    </fill>
    <fill>
      <patternFill patternType="solid">
        <fgColor theme="1" tint="0.34998626667073579"/>
        <bgColor rgb="FFF2F2F2"/>
      </patternFill>
    </fill>
    <fill>
      <patternFill patternType="solid">
        <fgColor rgb="FFFFFFCC"/>
      </patternFill>
    </fill>
    <fill>
      <patternFill patternType="solid">
        <fgColor theme="3" tint="0.79998168889431442"/>
        <bgColor indexed="64"/>
      </patternFill>
    </fill>
    <fill>
      <patternFill patternType="solid">
        <fgColor rgb="FFFFC7CE"/>
        <bgColor indexed="64"/>
      </patternFill>
    </fill>
    <fill>
      <patternFill patternType="solid">
        <fgColor theme="1" tint="0.34998626667073579"/>
        <bgColor indexed="64"/>
      </patternFill>
    </fill>
    <fill>
      <patternFill patternType="solid">
        <fgColor theme="1"/>
        <bgColor indexed="64"/>
      </patternFill>
    </fill>
    <fill>
      <patternFill patternType="solid">
        <fgColor theme="4" tint="0.59999389629810485"/>
        <bgColor indexed="64"/>
      </patternFill>
    </fill>
    <fill>
      <patternFill patternType="solid">
        <fgColor rgb="FFC0FCCA"/>
        <bgColor indexed="64"/>
      </patternFill>
    </fill>
    <fill>
      <patternFill patternType="solid">
        <fgColor rgb="FFFF9999"/>
        <bgColor indexed="64"/>
      </patternFill>
    </fill>
    <fill>
      <patternFill patternType="solid">
        <fgColor theme="0" tint="-0.249977111117893"/>
        <bgColor rgb="FFFFFFFF"/>
      </patternFill>
    </fill>
    <fill>
      <patternFill patternType="solid">
        <fgColor theme="0" tint="-0.24994659260841701"/>
        <bgColor indexed="64"/>
      </patternFill>
    </fill>
  </fills>
  <borders count="143">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style="thick">
        <color rgb="FF1F497D"/>
      </left>
      <right/>
      <top style="thick">
        <color rgb="FF1F497D"/>
      </top>
      <bottom/>
      <diagonal/>
    </border>
    <border>
      <left/>
      <right style="thick">
        <color rgb="FF1F497D"/>
      </right>
      <top style="thick">
        <color rgb="FF1F497D"/>
      </top>
      <bottom/>
      <diagonal/>
    </border>
    <border>
      <left style="thick">
        <color rgb="FF1F497D"/>
      </left>
      <right/>
      <top style="thick">
        <color rgb="FF4F81BD"/>
      </top>
      <bottom style="thick">
        <color rgb="FF1F497D"/>
      </bottom>
      <diagonal/>
    </border>
    <border>
      <left/>
      <right style="thick">
        <color rgb="FF1F497D"/>
      </right>
      <top style="thick">
        <color rgb="FF1F497D"/>
      </top>
      <bottom style="thick">
        <color rgb="FF1F497D"/>
      </bottom>
      <diagonal/>
    </border>
    <border>
      <left style="thick">
        <color rgb="FF1F497D"/>
      </left>
      <right/>
      <top style="thick">
        <color rgb="FF1F497D"/>
      </top>
      <bottom style="thick">
        <color rgb="FF1F497D"/>
      </bottom>
      <diagonal/>
    </border>
    <border>
      <left/>
      <right/>
      <top style="thick">
        <color rgb="FF1F497D"/>
      </top>
      <bottom style="thick">
        <color rgb="FF1F497D"/>
      </bottom>
      <diagonal/>
    </border>
    <border>
      <left/>
      <right style="thick">
        <color rgb="FF1F497D"/>
      </right>
      <top/>
      <bottom/>
      <diagonal/>
    </border>
    <border>
      <left style="thick">
        <color rgb="FF1F497D"/>
      </left>
      <right/>
      <top/>
      <bottom style="thick">
        <color rgb="FF1F497D"/>
      </bottom>
      <diagonal/>
    </border>
    <border>
      <left/>
      <right style="thick">
        <color rgb="FF1F497D"/>
      </right>
      <top/>
      <bottom style="thick">
        <color rgb="FF1F497D"/>
      </bottom>
      <diagonal/>
    </border>
    <border>
      <left/>
      <right/>
      <top style="thick">
        <color rgb="FF1F497D"/>
      </top>
      <bottom/>
      <diagonal/>
    </border>
    <border>
      <left style="thick">
        <color indexed="64"/>
      </left>
      <right style="thin">
        <color indexed="64"/>
      </right>
      <top/>
      <bottom/>
      <diagonal/>
    </border>
    <border>
      <left style="thick">
        <color indexed="64"/>
      </left>
      <right/>
      <top style="thin">
        <color indexed="64"/>
      </top>
      <bottom style="thin">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style="thin">
        <color indexed="64"/>
      </bottom>
      <diagonal/>
    </border>
    <border>
      <left style="thin">
        <color indexed="64"/>
      </left>
      <right/>
      <top style="medium">
        <color indexed="64"/>
      </top>
      <bottom/>
      <diagonal/>
    </border>
    <border>
      <left style="medium">
        <color indexed="64"/>
      </left>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style="thick">
        <color indexed="64"/>
      </right>
      <top style="thick">
        <color indexed="64"/>
      </top>
      <bottom style="thick">
        <color indexed="64"/>
      </bottom>
      <diagonal/>
    </border>
    <border>
      <left style="thin">
        <color indexed="64"/>
      </left>
      <right style="thick">
        <color indexed="64"/>
      </right>
      <top style="thin">
        <color indexed="64"/>
      </top>
      <bottom/>
      <diagonal/>
    </border>
    <border>
      <left/>
      <right/>
      <top style="medium">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thin">
        <color indexed="64"/>
      </bottom>
      <diagonal/>
    </border>
    <border>
      <left/>
      <right/>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bottom style="thick">
        <color indexed="64"/>
      </bottom>
      <diagonal/>
    </border>
    <border>
      <left/>
      <right style="thin">
        <color indexed="64"/>
      </right>
      <top style="thin">
        <color indexed="64"/>
      </top>
      <bottom style="thick">
        <color indexed="64"/>
      </bottom>
      <diagonal/>
    </border>
    <border>
      <left style="thick">
        <color indexed="64"/>
      </left>
      <right/>
      <top/>
      <bottom/>
      <diagonal/>
    </border>
    <border>
      <left style="thick">
        <color indexed="64"/>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bottom/>
      <diagonal/>
    </border>
    <border>
      <left style="thin">
        <color indexed="64"/>
      </left>
      <right style="thin">
        <color indexed="64"/>
      </right>
      <top style="thin">
        <color indexed="64"/>
      </top>
      <bottom style="thick">
        <color indexed="64"/>
      </bottom>
      <diagonal/>
    </border>
    <border>
      <left style="thin">
        <color indexed="64"/>
      </left>
      <right/>
      <top style="thick">
        <color indexed="64"/>
      </top>
      <bottom/>
      <diagonal/>
    </border>
    <border>
      <left style="thick">
        <color indexed="64"/>
      </left>
      <right style="thin">
        <color indexed="64"/>
      </right>
      <top style="thick">
        <color indexed="64"/>
      </top>
      <bottom/>
      <diagonal/>
    </border>
    <border>
      <left/>
      <right style="thick">
        <color indexed="64"/>
      </right>
      <top style="thick">
        <color indexed="64"/>
      </top>
      <bottom/>
      <diagonal/>
    </border>
    <border>
      <left style="thin">
        <color indexed="64"/>
      </left>
      <right/>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right/>
      <top style="thick">
        <color indexed="64"/>
      </top>
      <bottom style="thin">
        <color indexed="64"/>
      </bottom>
      <diagonal/>
    </border>
    <border>
      <left style="thick">
        <color indexed="64"/>
      </left>
      <right/>
      <top/>
      <bottom style="thick">
        <color indexed="64"/>
      </bottom>
      <diagonal/>
    </border>
    <border>
      <left style="thin">
        <color indexed="64"/>
      </left>
      <right style="thin">
        <color indexed="64"/>
      </right>
      <top style="thick">
        <color indexed="64"/>
      </top>
      <bottom style="thick">
        <color indexed="64"/>
      </bottom>
      <diagonal/>
    </border>
    <border>
      <left style="thick">
        <color indexed="64"/>
      </left>
      <right style="thin">
        <color indexed="64"/>
      </right>
      <top style="thin">
        <color indexed="64"/>
      </top>
      <bottom style="thick">
        <color indexed="64"/>
      </bottom>
      <diagonal/>
    </border>
    <border>
      <left style="thick">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ck">
        <color indexed="64"/>
      </left>
      <right style="thick">
        <color indexed="64"/>
      </right>
      <top style="thin">
        <color indexed="64"/>
      </top>
      <bottom style="thick">
        <color indexed="64"/>
      </bottom>
      <diagonal/>
    </border>
    <border>
      <left/>
      <right style="thin">
        <color indexed="64"/>
      </right>
      <top style="thick">
        <color indexed="64"/>
      </top>
      <bottom style="thick">
        <color indexed="64"/>
      </bottom>
      <diagonal/>
    </border>
    <border>
      <left style="thick">
        <color indexed="64"/>
      </left>
      <right/>
      <top style="thick">
        <color indexed="64"/>
      </top>
      <bottom/>
      <diagonal/>
    </border>
    <border>
      <left style="thick">
        <color indexed="64"/>
      </left>
      <right style="thick">
        <color indexed="64"/>
      </right>
      <top style="thick">
        <color indexed="64"/>
      </top>
      <bottom/>
      <diagonal/>
    </border>
    <border>
      <left style="thick">
        <color indexed="64"/>
      </left>
      <right style="thick">
        <color indexed="64"/>
      </right>
      <top style="thin">
        <color indexed="64"/>
      </top>
      <bottom/>
      <diagonal/>
    </border>
    <border>
      <left style="medium">
        <color indexed="64"/>
      </left>
      <right style="thin">
        <color indexed="64"/>
      </right>
      <top style="thin">
        <color indexed="64"/>
      </top>
      <bottom style="thick">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right style="thick">
        <color indexed="64"/>
      </right>
      <top/>
      <bottom/>
      <diagonal/>
    </border>
    <border>
      <left style="thick">
        <color indexed="64"/>
      </left>
      <right style="thick">
        <color indexed="64"/>
      </right>
      <top style="thin">
        <color theme="3"/>
      </top>
      <bottom style="thick">
        <color indexed="64"/>
      </bottom>
      <diagonal/>
    </border>
    <border>
      <left style="thick">
        <color indexed="64"/>
      </left>
      <right style="thick">
        <color indexed="64"/>
      </right>
      <top style="thin">
        <color theme="3"/>
      </top>
      <bottom style="thin">
        <color theme="3"/>
      </bottom>
      <diagonal/>
    </border>
    <border>
      <left/>
      <right style="thick">
        <color indexed="64"/>
      </right>
      <top style="thin">
        <color theme="3"/>
      </top>
      <bottom style="thin">
        <color theme="3"/>
      </bottom>
      <diagonal/>
    </border>
    <border>
      <left/>
      <right/>
      <top style="thick">
        <color indexed="64"/>
      </top>
      <bottom/>
      <diagonal/>
    </border>
    <border>
      <left/>
      <right style="thin">
        <color indexed="64"/>
      </right>
      <top style="thick">
        <color indexed="64"/>
      </top>
      <bottom/>
      <diagonal/>
    </border>
    <border>
      <left style="thick">
        <color indexed="64"/>
      </left>
      <right style="thin">
        <color indexed="64"/>
      </right>
      <top style="thick">
        <color indexed="64"/>
      </top>
      <bottom style="thin">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style="medium">
        <color rgb="FF000000"/>
      </top>
      <bottom/>
      <diagonal/>
    </border>
    <border>
      <left/>
      <right/>
      <top style="medium">
        <color rgb="FF000000"/>
      </top>
      <bottom/>
      <diagonal/>
    </border>
    <border>
      <left style="medium">
        <color indexed="64"/>
      </left>
      <right/>
      <top/>
      <bottom/>
      <diagonal/>
    </border>
    <border>
      <left/>
      <right style="medium">
        <color indexed="64"/>
      </right>
      <top/>
      <bottom style="medium">
        <color indexed="64"/>
      </bottom>
      <diagonal/>
    </border>
    <border>
      <left style="medium">
        <color indexed="64"/>
      </left>
      <right style="medium">
        <color indexed="64"/>
      </right>
      <top style="medium">
        <color rgb="FF000000"/>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rgb="FF000000"/>
      </top>
      <bottom/>
      <diagonal/>
    </border>
    <border>
      <left style="thin">
        <color rgb="FFB2B2B2"/>
      </left>
      <right style="thin">
        <color rgb="FFB2B2B2"/>
      </right>
      <top style="thick">
        <color theme="1" tint="0.34998626667073579"/>
      </top>
      <bottom style="thin">
        <color rgb="FFB2B2B2"/>
      </bottom>
      <diagonal/>
    </border>
    <border>
      <left style="thin">
        <color rgb="FFB2B2B2"/>
      </left>
      <right style="thin">
        <color rgb="FFB2B2B2"/>
      </right>
      <top style="thin">
        <color rgb="FFB2B2B2"/>
      </top>
      <bottom/>
      <diagonal/>
    </border>
    <border>
      <left style="thin">
        <color rgb="FFB2B2B2"/>
      </left>
      <right style="thin">
        <color rgb="FFB2B2B2"/>
      </right>
      <top/>
      <bottom/>
      <diagonal/>
    </border>
    <border>
      <left style="thin">
        <color rgb="FFB2B2B2"/>
      </left>
      <right style="thin">
        <color rgb="FFB2B2B2"/>
      </right>
      <top style="thin">
        <color rgb="FFB2B2B2"/>
      </top>
      <bottom style="thick">
        <color theme="1" tint="0.34998626667073579"/>
      </bottom>
      <diagonal/>
    </border>
    <border>
      <left style="thin">
        <color rgb="FFB2B2B2"/>
      </left>
      <right style="thin">
        <color rgb="FFB2B2B2"/>
      </right>
      <top style="thick">
        <color theme="9" tint="-0.499984740745262"/>
      </top>
      <bottom/>
      <diagonal/>
    </border>
    <border>
      <left style="thin">
        <color rgb="FFB2B2B2"/>
      </left>
      <right/>
      <top style="thick">
        <color theme="1" tint="0.34998626667073579"/>
      </top>
      <bottom style="thin">
        <color rgb="FFB2B2B2"/>
      </bottom>
      <diagonal/>
    </border>
    <border>
      <left/>
      <right style="thin">
        <color rgb="FFB2B2B2"/>
      </right>
      <top style="thick">
        <color theme="1" tint="0.34998626667073579"/>
      </top>
      <bottom style="thin">
        <color rgb="FFB2B2B2"/>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rgb="FFB2B2B2"/>
      </left>
      <right/>
      <top style="thin">
        <color rgb="FFB2B2B2"/>
      </top>
      <bottom style="thick">
        <color theme="1" tint="0.34998626667073579"/>
      </bottom>
      <diagonal/>
    </border>
    <border>
      <left/>
      <right style="thin">
        <color rgb="FFB2B2B2"/>
      </right>
      <top style="thin">
        <color rgb="FFB2B2B2"/>
      </top>
      <bottom style="thick">
        <color theme="1" tint="0.34998626667073579"/>
      </bottom>
      <diagonal/>
    </border>
    <border>
      <left style="thin">
        <color rgb="FFB2B2B2"/>
      </left>
      <right style="thin">
        <color rgb="FFB2B2B2"/>
      </right>
      <top style="thick">
        <color theme="1" tint="0.34998626667073579"/>
      </top>
      <bottom/>
      <diagonal/>
    </border>
    <border>
      <left style="thin">
        <color rgb="FFB2B2B2"/>
      </left>
      <right style="thin">
        <color rgb="FFB2B2B2"/>
      </right>
      <top/>
      <bottom style="thick">
        <color theme="1" tint="0.34998626667073579"/>
      </bottom>
      <diagonal/>
    </border>
    <border>
      <left style="thin">
        <color rgb="FFB2B2B2"/>
      </left>
      <right/>
      <top/>
      <bottom/>
      <diagonal/>
    </border>
    <border>
      <left style="thin">
        <color rgb="FFB2B2B2"/>
      </left>
      <right/>
      <top/>
      <bottom style="thick">
        <color theme="1" tint="0.34998626667073579"/>
      </bottom>
      <diagonal/>
    </border>
    <border>
      <left style="thick">
        <color indexed="64"/>
      </left>
      <right style="thick">
        <color indexed="64"/>
      </right>
      <top style="thick">
        <color indexed="64"/>
      </top>
      <bottom style="thin">
        <color rgb="FFB2B2B2"/>
      </bottom>
      <diagonal/>
    </border>
    <border>
      <left style="thick">
        <color indexed="64"/>
      </left>
      <right style="thick">
        <color indexed="64"/>
      </right>
      <top style="thin">
        <color rgb="FFB2B2B2"/>
      </top>
      <bottom style="thick">
        <color theme="1" tint="0.34998626667073579"/>
      </bottom>
      <diagonal/>
    </border>
    <border>
      <left style="thin">
        <color rgb="FFB2B2B2"/>
      </left>
      <right/>
      <top style="thick">
        <color indexed="64"/>
      </top>
      <bottom/>
      <diagonal/>
    </border>
    <border>
      <left/>
      <right style="thin">
        <color rgb="FFB2B2B2"/>
      </right>
      <top style="thick">
        <color indexed="64"/>
      </top>
      <bottom/>
      <diagonal/>
    </border>
    <border>
      <left/>
      <right style="thin">
        <color rgb="FFB2B2B2"/>
      </right>
      <top/>
      <bottom/>
      <diagonal/>
    </border>
    <border>
      <left/>
      <right style="thin">
        <color rgb="FFB2B2B2"/>
      </right>
      <top/>
      <bottom style="thick">
        <color theme="1" tint="0.34998626667073579"/>
      </bottom>
      <diagonal/>
    </border>
    <border>
      <left/>
      <right style="thin">
        <color rgb="FFB2B2B2"/>
      </right>
      <top style="thick">
        <color theme="1" tint="0.34998626667073579"/>
      </top>
      <bottom/>
      <diagonal/>
    </border>
    <border>
      <left/>
      <right style="thin">
        <color rgb="FFB2B2B2"/>
      </right>
      <top/>
      <bottom style="thin">
        <color rgb="FFB2B2B2"/>
      </bottom>
      <diagonal/>
    </border>
    <border>
      <left/>
      <right style="thin">
        <color rgb="FFB2B2B2"/>
      </right>
      <top/>
      <bottom style="thick">
        <color indexed="64"/>
      </bottom>
      <diagonal/>
    </border>
    <border>
      <left/>
      <right style="thick">
        <color indexed="64"/>
      </right>
      <top style="thin">
        <color indexed="64"/>
      </top>
      <bottom/>
      <diagonal/>
    </border>
    <border>
      <left/>
      <right style="medium">
        <color indexed="64"/>
      </right>
      <top style="thin">
        <color indexed="64"/>
      </top>
      <bottom style="thick">
        <color indexed="64"/>
      </bottom>
      <diagonal/>
    </border>
    <border>
      <left/>
      <right style="thick">
        <color indexed="64"/>
      </right>
      <top style="thin">
        <color indexed="64"/>
      </top>
      <bottom style="thin">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14">
    <xf numFmtId="0" fontId="0" fillId="0" borderId="0"/>
    <xf numFmtId="0" fontId="10" fillId="0" borderId="3" applyNumberFormat="0" applyFill="0" applyAlignment="0" applyProtection="0"/>
    <xf numFmtId="0" fontId="11" fillId="0" borderId="4" applyNumberFormat="0" applyFill="0" applyAlignment="0" applyProtection="0"/>
    <xf numFmtId="0" fontId="12" fillId="5"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25" fillId="24" borderId="0" applyNumberFormat="0" applyBorder="0" applyAlignment="0" applyProtection="0"/>
    <xf numFmtId="0" fontId="2" fillId="28" borderId="0" applyNumberFormat="0" applyBorder="0" applyAlignment="0" applyProtection="0"/>
    <xf numFmtId="0" fontId="43" fillId="6" borderId="85" applyNumberFormat="0" applyAlignment="0" applyProtection="0"/>
    <xf numFmtId="0" fontId="42" fillId="39" borderId="2" applyNumberFormat="0" applyFont="0" applyAlignment="0" applyProtection="0"/>
    <xf numFmtId="0" fontId="1" fillId="39" borderId="2" applyNumberFormat="0" applyFont="0" applyAlignment="0" applyProtection="0"/>
    <xf numFmtId="0" fontId="1" fillId="0" borderId="1"/>
  </cellStyleXfs>
  <cellXfs count="495">
    <xf numFmtId="0" fontId="0" fillId="0" borderId="0" xfId="0"/>
    <xf numFmtId="0" fontId="15" fillId="11" borderId="7" xfId="1" applyFont="1" applyFill="1" applyBorder="1" applyAlignment="1">
      <alignment horizontal="right" vertical="center"/>
    </xf>
    <xf numFmtId="0" fontId="15" fillId="11" borderId="8" xfId="1" applyFont="1" applyFill="1" applyBorder="1" applyAlignment="1">
      <alignment horizontal="left" vertical="center"/>
    </xf>
    <xf numFmtId="0" fontId="15" fillId="11" borderId="5" xfId="1" applyFont="1" applyFill="1" applyBorder="1" applyAlignment="1">
      <alignment horizontal="right" vertical="center"/>
    </xf>
    <xf numFmtId="0" fontId="15" fillId="11" borderId="6" xfId="1" applyFont="1" applyFill="1" applyBorder="1" applyAlignment="1">
      <alignment horizontal="left" vertical="center"/>
    </xf>
    <xf numFmtId="0" fontId="16" fillId="0" borderId="9" xfId="0" applyFont="1" applyBorder="1" applyAlignment="1">
      <alignment vertical="center"/>
    </xf>
    <xf numFmtId="0" fontId="16" fillId="0" borderId="8" xfId="0" applyFont="1" applyBorder="1" applyAlignment="1">
      <alignment vertical="center"/>
    </xf>
    <xf numFmtId="0" fontId="15" fillId="11" borderId="9" xfId="1" applyFont="1" applyFill="1" applyBorder="1" applyAlignment="1">
      <alignment horizontal="right" vertical="center"/>
    </xf>
    <xf numFmtId="0" fontId="15" fillId="11" borderId="10" xfId="1" applyFont="1" applyFill="1" applyBorder="1" applyAlignment="1">
      <alignment horizontal="right" vertical="center"/>
    </xf>
    <xf numFmtId="2" fontId="15" fillId="11" borderId="9" xfId="1" applyNumberFormat="1" applyFont="1" applyFill="1" applyBorder="1" applyAlignment="1">
      <alignment horizontal="right" vertical="center"/>
    </xf>
    <xf numFmtId="0" fontId="15" fillId="11" borderId="11" xfId="1" applyFont="1" applyFill="1" applyBorder="1" applyAlignment="1">
      <alignment horizontal="left" vertical="center"/>
    </xf>
    <xf numFmtId="2" fontId="16" fillId="13" borderId="12" xfId="0" applyNumberFormat="1" applyFont="1" applyFill="1" applyBorder="1" applyAlignment="1">
      <alignment horizontal="right" vertical="center"/>
    </xf>
    <xf numFmtId="0" fontId="18" fillId="13" borderId="13" xfId="1" applyFont="1" applyFill="1" applyBorder="1" applyAlignment="1">
      <alignment horizontal="left" vertical="center"/>
    </xf>
    <xf numFmtId="2" fontId="17" fillId="14" borderId="12" xfId="3" applyNumberFormat="1" applyFont="1" applyFill="1" applyBorder="1" applyAlignment="1">
      <alignment horizontal="right" vertical="center"/>
    </xf>
    <xf numFmtId="0" fontId="17" fillId="14" borderId="13" xfId="3" applyFont="1" applyFill="1" applyBorder="1" applyAlignment="1">
      <alignment horizontal="left" vertical="center"/>
    </xf>
    <xf numFmtId="2" fontId="16" fillId="16" borderId="14" xfId="7" applyNumberFormat="1" applyFont="1" applyFill="1" applyBorder="1" applyAlignment="1">
      <alignment horizontal="right" vertical="center"/>
    </xf>
    <xf numFmtId="0" fontId="16" fillId="16" borderId="14" xfId="7" applyFont="1" applyFill="1" applyBorder="1" applyAlignment="1">
      <alignment vertical="center"/>
    </xf>
    <xf numFmtId="0" fontId="16" fillId="0" borderId="5" xfId="0" applyFont="1" applyBorder="1" applyAlignment="1">
      <alignment vertical="center"/>
    </xf>
    <xf numFmtId="0" fontId="16" fillId="0" borderId="6" xfId="0" applyFont="1" applyBorder="1" applyAlignment="1">
      <alignment vertical="center"/>
    </xf>
    <xf numFmtId="0" fontId="16" fillId="18" borderId="8" xfId="4" applyFont="1" applyFill="1" applyBorder="1" applyAlignment="1">
      <alignment vertical="center"/>
    </xf>
    <xf numFmtId="0" fontId="16" fillId="0" borderId="10" xfId="0" applyFont="1" applyBorder="1" applyAlignment="1">
      <alignment vertical="center"/>
    </xf>
    <xf numFmtId="2" fontId="16" fillId="17" borderId="9" xfId="4" applyNumberFormat="1" applyFont="1" applyFill="1" applyBorder="1" applyAlignment="1">
      <alignment vertical="center"/>
    </xf>
    <xf numFmtId="0" fontId="16" fillId="17" borderId="10" xfId="4" applyFont="1" applyFill="1" applyBorder="1" applyAlignment="1">
      <alignment vertical="center"/>
    </xf>
    <xf numFmtId="0" fontId="16" fillId="0" borderId="13" xfId="0" applyFont="1" applyBorder="1" applyAlignment="1">
      <alignment vertical="center"/>
    </xf>
    <xf numFmtId="2" fontId="16" fillId="19" borderId="12" xfId="0" applyNumberFormat="1" applyFont="1" applyFill="1" applyBorder="1" applyAlignment="1">
      <alignment horizontal="right" vertical="center"/>
    </xf>
    <xf numFmtId="0" fontId="18" fillId="19" borderId="13" xfId="1" applyFont="1" applyFill="1" applyBorder="1" applyAlignment="1">
      <alignment horizontal="left" vertical="center"/>
    </xf>
    <xf numFmtId="2" fontId="16" fillId="18" borderId="9" xfId="4" quotePrefix="1" applyNumberFormat="1" applyFont="1" applyFill="1" applyBorder="1" applyAlignment="1">
      <alignment horizontal="right" vertical="center"/>
    </xf>
    <xf numFmtId="0" fontId="24" fillId="0" borderId="1" xfId="0" applyFont="1" applyBorder="1"/>
    <xf numFmtId="0" fontId="0" fillId="0" borderId="1" xfId="0" applyBorder="1"/>
    <xf numFmtId="0" fontId="20" fillId="25" borderId="22" xfId="0" applyFont="1" applyFill="1" applyBorder="1" applyAlignment="1">
      <alignment horizontal="center" vertical="center"/>
    </xf>
    <xf numFmtId="0" fontId="20" fillId="25" borderId="22" xfId="0" applyFont="1" applyFill="1" applyBorder="1" applyAlignment="1">
      <alignment horizontal="center"/>
    </xf>
    <xf numFmtId="0" fontId="20" fillId="20" borderId="22" xfId="0" applyFont="1" applyFill="1" applyBorder="1" applyAlignment="1">
      <alignment horizontal="center"/>
    </xf>
    <xf numFmtId="0" fontId="20" fillId="25" borderId="1" xfId="0" applyFont="1" applyFill="1" applyBorder="1" applyAlignment="1">
      <alignment horizontal="center"/>
    </xf>
    <xf numFmtId="0" fontId="20" fillId="25" borderId="21" xfId="0" applyFont="1" applyFill="1" applyBorder="1" applyAlignment="1">
      <alignment horizontal="center" vertical="center"/>
    </xf>
    <xf numFmtId="0" fontId="20" fillId="25" borderId="21" xfId="0" applyFont="1" applyFill="1" applyBorder="1" applyAlignment="1">
      <alignment horizontal="center"/>
    </xf>
    <xf numFmtId="0" fontId="20" fillId="20" borderId="21" xfId="0" applyFont="1" applyFill="1" applyBorder="1" applyAlignment="1">
      <alignment horizontal="center"/>
    </xf>
    <xf numFmtId="0" fontId="0" fillId="0" borderId="0" xfId="0" applyAlignment="1">
      <alignment horizontal="center"/>
    </xf>
    <xf numFmtId="0" fontId="23" fillId="0" borderId="1" xfId="0" applyFont="1" applyBorder="1" applyAlignment="1">
      <alignment vertical="top"/>
    </xf>
    <xf numFmtId="0" fontId="20" fillId="0" borderId="1" xfId="0" applyFont="1" applyBorder="1" applyAlignment="1">
      <alignment vertical="top" wrapText="1"/>
    </xf>
    <xf numFmtId="2" fontId="19" fillId="3" borderId="33" xfId="0" applyNumberFormat="1" applyFont="1" applyFill="1" applyBorder="1" applyAlignment="1" applyProtection="1">
      <alignment horizontal="center" vertical="center"/>
      <protection locked="0"/>
    </xf>
    <xf numFmtId="0" fontId="37" fillId="35" borderId="61" xfId="0" applyFont="1" applyFill="1" applyBorder="1" applyAlignment="1">
      <alignment horizontal="center" vertical="center" wrapText="1"/>
    </xf>
    <xf numFmtId="0" fontId="37" fillId="35" borderId="51" xfId="0" applyFont="1" applyFill="1" applyBorder="1" applyAlignment="1">
      <alignment horizontal="center" vertical="center" wrapText="1"/>
    </xf>
    <xf numFmtId="0" fontId="14" fillId="23" borderId="20" xfId="0" applyFont="1" applyFill="1" applyBorder="1" applyAlignment="1">
      <alignment horizontal="center" vertical="center"/>
    </xf>
    <xf numFmtId="0" fontId="14" fillId="23" borderId="48" xfId="0" applyFont="1" applyFill="1" applyBorder="1" applyAlignment="1">
      <alignment horizontal="center" vertical="center"/>
    </xf>
    <xf numFmtId="0" fontId="14" fillId="23" borderId="61" xfId="0" applyFont="1" applyFill="1" applyBorder="1" applyAlignment="1">
      <alignment horizontal="center" vertical="center"/>
    </xf>
    <xf numFmtId="0" fontId="14" fillId="23" borderId="51" xfId="0" applyFont="1" applyFill="1" applyBorder="1" applyAlignment="1">
      <alignment horizontal="center" vertical="center"/>
    </xf>
    <xf numFmtId="0" fontId="14" fillId="20" borderId="20" xfId="0" applyFont="1" applyFill="1" applyBorder="1" applyAlignment="1">
      <alignment horizontal="center" vertical="center"/>
    </xf>
    <xf numFmtId="0" fontId="14" fillId="20" borderId="48" xfId="0" applyFont="1" applyFill="1" applyBorder="1" applyAlignment="1">
      <alignment horizontal="center" vertical="center"/>
    </xf>
    <xf numFmtId="0" fontId="14" fillId="20" borderId="19" xfId="0" applyFont="1" applyFill="1" applyBorder="1" applyAlignment="1">
      <alignment horizontal="center" vertical="center"/>
    </xf>
    <xf numFmtId="0" fontId="14" fillId="20" borderId="49" xfId="0" applyFont="1" applyFill="1" applyBorder="1" applyAlignment="1">
      <alignment horizontal="center" vertical="center"/>
    </xf>
    <xf numFmtId="0" fontId="14" fillId="20" borderId="61" xfId="0" applyFont="1" applyFill="1" applyBorder="1" applyAlignment="1">
      <alignment horizontal="center" vertical="center"/>
    </xf>
    <xf numFmtId="0" fontId="14" fillId="20" borderId="51" xfId="0" applyFont="1" applyFill="1" applyBorder="1" applyAlignment="1">
      <alignment horizontal="center" vertical="center"/>
    </xf>
    <xf numFmtId="0" fontId="14" fillId="23" borderId="19" xfId="0" applyFont="1" applyFill="1" applyBorder="1" applyAlignment="1">
      <alignment horizontal="center" vertical="center"/>
    </xf>
    <xf numFmtId="0" fontId="14" fillId="23" borderId="49" xfId="0" applyFont="1" applyFill="1" applyBorder="1" applyAlignment="1">
      <alignment horizontal="center" vertical="center"/>
    </xf>
    <xf numFmtId="0" fontId="14" fillId="20" borderId="71" xfId="0" applyFont="1" applyFill="1" applyBorder="1" applyAlignment="1">
      <alignment horizontal="center" vertical="center"/>
    </xf>
    <xf numFmtId="0" fontId="14" fillId="20" borderId="37" xfId="0" applyFont="1" applyFill="1" applyBorder="1" applyAlignment="1">
      <alignment horizontal="center" vertical="center"/>
    </xf>
    <xf numFmtId="0" fontId="14" fillId="23" borderId="21" xfId="0" applyFont="1" applyFill="1" applyBorder="1" applyAlignment="1">
      <alignment horizontal="center" vertical="center"/>
    </xf>
    <xf numFmtId="0" fontId="14" fillId="23" borderId="47" xfId="0" applyFont="1" applyFill="1" applyBorder="1" applyAlignment="1">
      <alignment horizontal="center" vertical="center"/>
    </xf>
    <xf numFmtId="0" fontId="14" fillId="23" borderId="52" xfId="0" applyFont="1" applyFill="1" applyBorder="1" applyAlignment="1">
      <alignment horizontal="center" vertical="center"/>
    </xf>
    <xf numFmtId="0" fontId="35" fillId="37" borderId="75" xfId="0" applyFont="1" applyFill="1" applyBorder="1" applyAlignment="1">
      <alignment horizontal="center" vertical="center"/>
    </xf>
    <xf numFmtId="0" fontId="14" fillId="30" borderId="46" xfId="0" applyFont="1" applyFill="1" applyBorder="1" applyAlignment="1">
      <alignment horizontal="center" vertical="center"/>
    </xf>
    <xf numFmtId="0" fontId="14" fillId="30" borderId="40" xfId="0" applyFont="1" applyFill="1" applyBorder="1" applyAlignment="1">
      <alignment horizontal="center" vertical="center"/>
    </xf>
    <xf numFmtId="0" fontId="14" fillId="30" borderId="22" xfId="0" applyFont="1" applyFill="1" applyBorder="1" applyAlignment="1">
      <alignment horizontal="center" vertical="center"/>
    </xf>
    <xf numFmtId="0" fontId="19" fillId="3" borderId="35" xfId="0" applyFont="1" applyFill="1" applyBorder="1" applyAlignment="1">
      <alignment horizontal="left" vertical="center"/>
    </xf>
    <xf numFmtId="0" fontId="19" fillId="21" borderId="35" xfId="0" applyFont="1" applyFill="1" applyBorder="1" applyAlignment="1">
      <alignment horizontal="left" vertical="center"/>
    </xf>
    <xf numFmtId="0" fontId="20" fillId="22" borderId="29" xfId="0" applyFont="1" applyFill="1" applyBorder="1" applyAlignment="1">
      <alignment horizontal="center"/>
    </xf>
    <xf numFmtId="0" fontId="19" fillId="21" borderId="24" xfId="0" applyFont="1" applyFill="1" applyBorder="1" applyAlignment="1">
      <alignment horizontal="center" vertical="center"/>
    </xf>
    <xf numFmtId="0" fontId="19" fillId="21" borderId="41" xfId="0" applyFont="1" applyFill="1" applyBorder="1" applyAlignment="1">
      <alignment horizontal="left" vertical="center"/>
    </xf>
    <xf numFmtId="0" fontId="19" fillId="21" borderId="1" xfId="0" applyFont="1" applyFill="1" applyBorder="1" applyAlignment="1">
      <alignment horizontal="left" vertical="center"/>
    </xf>
    <xf numFmtId="0" fontId="14" fillId="30" borderId="42" xfId="0" applyFont="1" applyFill="1" applyBorder="1" applyAlignment="1">
      <alignment horizontal="center" vertical="center"/>
    </xf>
    <xf numFmtId="2" fontId="13" fillId="6" borderId="24" xfId="1" applyNumberFormat="1" applyFont="1" applyFill="1" applyBorder="1" applyAlignment="1" applyProtection="1">
      <alignment horizontal="center" vertical="center"/>
    </xf>
    <xf numFmtId="0" fontId="14" fillId="30" borderId="44" xfId="0" applyFont="1" applyFill="1" applyBorder="1" applyAlignment="1">
      <alignment horizontal="center" vertical="center"/>
    </xf>
    <xf numFmtId="0" fontId="14" fillId="30" borderId="27" xfId="0" applyFont="1" applyFill="1" applyBorder="1" applyAlignment="1">
      <alignment horizontal="center" vertical="center"/>
    </xf>
    <xf numFmtId="2" fontId="14" fillId="24" borderId="22" xfId="8" applyNumberFormat="1" applyFont="1" applyBorder="1" applyAlignment="1" applyProtection="1">
      <alignment horizontal="center" vertical="center"/>
    </xf>
    <xf numFmtId="0" fontId="14" fillId="30" borderId="43" xfId="0" applyFont="1" applyFill="1" applyBorder="1" applyAlignment="1">
      <alignment horizontal="center" vertical="center"/>
    </xf>
    <xf numFmtId="2" fontId="14" fillId="30" borderId="34" xfId="0" applyNumberFormat="1" applyFont="1" applyFill="1" applyBorder="1" applyAlignment="1">
      <alignment horizontal="center" vertical="center"/>
    </xf>
    <xf numFmtId="2" fontId="14" fillId="30" borderId="43" xfId="0" applyNumberFormat="1" applyFont="1" applyFill="1" applyBorder="1" applyAlignment="1">
      <alignment horizontal="center" vertical="center"/>
    </xf>
    <xf numFmtId="2" fontId="29" fillId="28" borderId="40" xfId="9" applyNumberFormat="1" applyFont="1" applyBorder="1" applyAlignment="1" applyProtection="1">
      <alignment horizontal="center" vertical="center"/>
    </xf>
    <xf numFmtId="2" fontId="29" fillId="28" borderId="22" xfId="9" applyNumberFormat="1" applyFont="1" applyBorder="1" applyAlignment="1" applyProtection="1">
      <alignment horizontal="center" vertical="center"/>
    </xf>
    <xf numFmtId="2" fontId="29" fillId="28" borderId="43" xfId="9" applyNumberFormat="1" applyFont="1" applyBorder="1" applyAlignment="1" applyProtection="1">
      <alignment horizontal="center" vertical="center"/>
    </xf>
    <xf numFmtId="2" fontId="14" fillId="24" borderId="45" xfId="8" applyNumberFormat="1" applyFont="1" applyBorder="1" applyAlignment="1" applyProtection="1">
      <alignment horizontal="center" vertical="center"/>
    </xf>
    <xf numFmtId="2" fontId="29" fillId="28" borderId="36" xfId="9" applyNumberFormat="1" applyFont="1" applyBorder="1" applyAlignment="1" applyProtection="1">
      <alignment horizontal="center" vertical="center"/>
    </xf>
    <xf numFmtId="0" fontId="5" fillId="0" borderId="19" xfId="0" applyFont="1" applyBorder="1" applyAlignment="1">
      <alignment horizontal="center" vertical="center" wrapText="1"/>
    </xf>
    <xf numFmtId="0" fontId="6" fillId="0" borderId="0" xfId="0" applyFont="1"/>
    <xf numFmtId="0" fontId="5" fillId="23" borderId="21" xfId="0" applyFont="1" applyFill="1" applyBorder="1" applyAlignment="1">
      <alignment horizontal="center" vertical="center"/>
    </xf>
    <xf numFmtId="0" fontId="5" fillId="23" borderId="26" xfId="0" applyFont="1" applyFill="1" applyBorder="1" applyAlignment="1">
      <alignment horizontal="center" vertical="center"/>
    </xf>
    <xf numFmtId="0" fontId="5" fillId="23" borderId="1" xfId="0" applyFont="1" applyFill="1" applyBorder="1" applyAlignment="1">
      <alignment horizontal="center" vertical="center"/>
    </xf>
    <xf numFmtId="0" fontId="5" fillId="0" borderId="19" xfId="0" applyFont="1" applyBorder="1" applyAlignment="1">
      <alignment horizontal="center" vertical="center"/>
    </xf>
    <xf numFmtId="0" fontId="5" fillId="20" borderId="22" xfId="0" applyFont="1" applyFill="1" applyBorder="1" applyAlignment="1">
      <alignment horizontal="center" vertical="center"/>
    </xf>
    <xf numFmtId="0" fontId="5" fillId="20" borderId="31" xfId="0" applyFont="1" applyFill="1" applyBorder="1" applyAlignment="1">
      <alignment horizontal="center" vertical="center"/>
    </xf>
    <xf numFmtId="0" fontId="5" fillId="20" borderId="30" xfId="0" applyFont="1" applyFill="1" applyBorder="1" applyAlignment="1">
      <alignment horizontal="center" vertical="center"/>
    </xf>
    <xf numFmtId="0" fontId="5" fillId="20" borderId="21" xfId="0" applyFont="1" applyFill="1" applyBorder="1" applyAlignment="1">
      <alignment horizontal="center" vertical="center"/>
    </xf>
    <xf numFmtId="0" fontId="5" fillId="20" borderId="1" xfId="0" applyFont="1" applyFill="1" applyBorder="1" applyAlignment="1">
      <alignment horizontal="center" vertical="center"/>
    </xf>
    <xf numFmtId="0" fontId="5" fillId="20" borderId="26" xfId="0" applyFont="1" applyFill="1" applyBorder="1" applyAlignment="1">
      <alignment horizontal="center" vertical="center"/>
    </xf>
    <xf numFmtId="0" fontId="6" fillId="0" borderId="24" xfId="0" applyFont="1" applyBorder="1"/>
    <xf numFmtId="0" fontId="5" fillId="20" borderId="20" xfId="0" applyFont="1" applyFill="1" applyBorder="1" applyAlignment="1">
      <alignment horizontal="center" vertical="center"/>
    </xf>
    <xf numFmtId="0" fontId="5" fillId="20" borderId="25" xfId="0" applyFont="1" applyFill="1" applyBorder="1" applyAlignment="1">
      <alignment horizontal="center" vertical="center"/>
    </xf>
    <xf numFmtId="0" fontId="5" fillId="20" borderId="32" xfId="0" applyFont="1" applyFill="1" applyBorder="1" applyAlignment="1">
      <alignment horizontal="center" vertical="center"/>
    </xf>
    <xf numFmtId="0" fontId="5" fillId="23" borderId="19" xfId="0" applyFont="1" applyFill="1" applyBorder="1" applyAlignment="1">
      <alignment horizontal="center" vertical="center"/>
    </xf>
    <xf numFmtId="0" fontId="5" fillId="23" borderId="20" xfId="0" applyFont="1" applyFill="1" applyBorder="1" applyAlignment="1">
      <alignment horizontal="center" vertical="center"/>
    </xf>
    <xf numFmtId="0" fontId="5" fillId="20" borderId="19" xfId="0" applyFont="1" applyFill="1" applyBorder="1" applyAlignment="1">
      <alignment horizontal="center" vertical="center"/>
    </xf>
    <xf numFmtId="0" fontId="5" fillId="20" borderId="28" xfId="0" applyFont="1" applyFill="1" applyBorder="1" applyAlignment="1">
      <alignment horizontal="center" vertical="center"/>
    </xf>
    <xf numFmtId="0" fontId="5" fillId="20" borderId="27" xfId="0" applyFont="1" applyFill="1" applyBorder="1" applyAlignment="1">
      <alignment horizontal="center" vertical="center"/>
    </xf>
    <xf numFmtId="0" fontId="5" fillId="23" borderId="17" xfId="0" applyFont="1" applyFill="1" applyBorder="1" applyAlignment="1">
      <alignment horizontal="center" vertical="center"/>
    </xf>
    <xf numFmtId="0" fontId="0" fillId="20" borderId="0" xfId="0" applyFill="1"/>
    <xf numFmtId="0" fontId="5" fillId="23" borderId="23" xfId="0" applyFont="1" applyFill="1" applyBorder="1" applyAlignment="1">
      <alignment horizontal="center" vertical="center"/>
    </xf>
    <xf numFmtId="2" fontId="5" fillId="23" borderId="20" xfId="0" applyNumberFormat="1" applyFont="1" applyFill="1" applyBorder="1" applyAlignment="1">
      <alignment horizontal="center" vertical="center"/>
    </xf>
    <xf numFmtId="164" fontId="5" fillId="23" borderId="25" xfId="0" applyNumberFormat="1" applyFont="1" applyFill="1" applyBorder="1" applyAlignment="1">
      <alignment horizontal="center" vertical="center"/>
    </xf>
    <xf numFmtId="164" fontId="5" fillId="23" borderId="20" xfId="0" applyNumberFormat="1" applyFont="1" applyFill="1" applyBorder="1" applyAlignment="1">
      <alignment horizontal="center" vertical="center"/>
    </xf>
    <xf numFmtId="0" fontId="5" fillId="23" borderId="25" xfId="0" applyFont="1" applyFill="1" applyBorder="1" applyAlignment="1">
      <alignment horizontal="center" vertical="center"/>
    </xf>
    <xf numFmtId="2" fontId="13" fillId="0" borderId="19" xfId="1" applyNumberFormat="1" applyFont="1" applyBorder="1" applyAlignment="1" applyProtection="1">
      <alignment horizontal="center" vertical="center"/>
    </xf>
    <xf numFmtId="164" fontId="13" fillId="0" borderId="25" xfId="1" applyNumberFormat="1" applyFont="1" applyBorder="1" applyAlignment="1" applyProtection="1">
      <alignment horizontal="center" vertical="center"/>
    </xf>
    <xf numFmtId="2" fontId="13" fillId="0" borderId="20" xfId="1" applyNumberFormat="1" applyFont="1" applyBorder="1" applyAlignment="1" applyProtection="1">
      <alignment horizontal="center" vertical="center"/>
    </xf>
    <xf numFmtId="164" fontId="13" fillId="0" borderId="23" xfId="1" applyNumberFormat="1" applyFont="1" applyBorder="1" applyAlignment="1" applyProtection="1">
      <alignment horizontal="center" vertical="center"/>
    </xf>
    <xf numFmtId="0" fontId="21" fillId="0" borderId="30" xfId="0" applyFont="1" applyBorder="1" applyAlignment="1">
      <alignment horizontal="center" vertical="center"/>
    </xf>
    <xf numFmtId="0" fontId="21" fillId="0" borderId="29" xfId="0" applyFont="1" applyBorder="1" applyAlignment="1">
      <alignment horizontal="center" vertical="center"/>
    </xf>
    <xf numFmtId="0" fontId="6" fillId="0" borderId="0" xfId="0" applyFont="1" applyAlignment="1">
      <alignment horizontal="center" vertical="center"/>
    </xf>
    <xf numFmtId="0" fontId="7" fillId="0" borderId="0" xfId="0" applyFont="1"/>
    <xf numFmtId="0" fontId="0" fillId="0" borderId="0" xfId="0" applyAlignment="1">
      <alignment horizontal="center" vertical="center"/>
    </xf>
    <xf numFmtId="2" fontId="13" fillId="0" borderId="56" xfId="1" applyNumberFormat="1" applyFont="1" applyBorder="1" applyAlignment="1" applyProtection="1">
      <alignment horizontal="center" vertical="center"/>
    </xf>
    <xf numFmtId="2" fontId="13" fillId="0" borderId="71" xfId="1" applyNumberFormat="1" applyFont="1" applyBorder="1" applyAlignment="1" applyProtection="1">
      <alignment horizontal="center" vertical="center"/>
    </xf>
    <xf numFmtId="2" fontId="13" fillId="0" borderId="37" xfId="1" applyNumberFormat="1" applyFont="1" applyBorder="1" applyAlignment="1" applyProtection="1">
      <alignment horizontal="center" vertical="center"/>
    </xf>
    <xf numFmtId="0" fontId="31" fillId="23" borderId="62" xfId="0" applyFont="1" applyFill="1" applyBorder="1" applyAlignment="1">
      <alignment horizontal="center" vertical="center"/>
    </xf>
    <xf numFmtId="0" fontId="31" fillId="23" borderId="24" xfId="0" applyFont="1" applyFill="1" applyBorder="1" applyAlignment="1">
      <alignment horizontal="center" vertical="center"/>
    </xf>
    <xf numFmtId="0" fontId="31" fillId="31" borderId="62" xfId="0" applyFont="1" applyFill="1" applyBorder="1" applyAlignment="1">
      <alignment horizontal="center" vertical="center"/>
    </xf>
    <xf numFmtId="0" fontId="31" fillId="31" borderId="29" xfId="0" applyFont="1" applyFill="1" applyBorder="1" applyAlignment="1">
      <alignment horizontal="center" vertical="center"/>
    </xf>
    <xf numFmtId="0" fontId="31" fillId="23" borderId="29" xfId="0" applyFont="1" applyFill="1" applyBorder="1" applyAlignment="1">
      <alignment horizontal="center" vertical="center"/>
    </xf>
    <xf numFmtId="0" fontId="31" fillId="23" borderId="77" xfId="0" applyFont="1" applyFill="1" applyBorder="1" applyAlignment="1">
      <alignment horizontal="center" vertical="center"/>
    </xf>
    <xf numFmtId="0" fontId="23" fillId="0" borderId="1" xfId="0" applyFont="1" applyBorder="1" applyAlignment="1">
      <alignment vertical="top" wrapText="1"/>
    </xf>
    <xf numFmtId="0" fontId="14" fillId="30" borderId="82" xfId="0" applyFont="1" applyFill="1" applyBorder="1" applyAlignment="1">
      <alignment horizontal="center" vertical="center"/>
    </xf>
    <xf numFmtId="2" fontId="14" fillId="24" borderId="23" xfId="8" applyNumberFormat="1" applyFont="1" applyBorder="1" applyAlignment="1" applyProtection="1">
      <alignment horizontal="center" vertical="center"/>
    </xf>
    <xf numFmtId="2" fontId="29" fillId="28" borderId="44" xfId="9" applyNumberFormat="1" applyFont="1" applyBorder="1" applyAlignment="1" applyProtection="1">
      <alignment horizontal="center" vertical="center"/>
    </xf>
    <xf numFmtId="2" fontId="29" fillId="28" borderId="27" xfId="9" applyNumberFormat="1" applyFont="1" applyBorder="1" applyAlignment="1" applyProtection="1">
      <alignment vertical="center"/>
    </xf>
    <xf numFmtId="2" fontId="29" fillId="28" borderId="83" xfId="9" applyNumberFormat="1" applyFont="1" applyBorder="1" applyAlignment="1" applyProtection="1">
      <alignment horizontal="center" vertical="center"/>
    </xf>
    <xf numFmtId="2" fontId="29" fillId="28" borderId="84" xfId="9" applyNumberFormat="1" applyFont="1" applyBorder="1" applyAlignment="1" applyProtection="1">
      <alignment vertical="center"/>
    </xf>
    <xf numFmtId="0" fontId="36" fillId="36" borderId="60" xfId="1" applyFont="1" applyFill="1" applyBorder="1" applyAlignment="1" applyProtection="1">
      <alignment vertical="center" wrapText="1"/>
    </xf>
    <xf numFmtId="0" fontId="35" fillId="37" borderId="78" xfId="0" applyFont="1" applyFill="1" applyBorder="1" applyAlignment="1">
      <alignment horizontal="center" vertical="center"/>
    </xf>
    <xf numFmtId="0" fontId="35" fillId="37" borderId="79" xfId="0" applyFont="1" applyFill="1" applyBorder="1" applyAlignment="1">
      <alignment horizontal="center" vertical="center"/>
    </xf>
    <xf numFmtId="0" fontId="36" fillId="36" borderId="66" xfId="1" applyFont="1" applyFill="1" applyBorder="1" applyAlignment="1" applyProtection="1">
      <alignment vertical="center" wrapText="1"/>
    </xf>
    <xf numFmtId="0" fontId="0" fillId="0" borderId="86" xfId="0" applyBorder="1"/>
    <xf numFmtId="0" fontId="49" fillId="0" borderId="1" xfId="0" applyFont="1" applyBorder="1" applyAlignment="1">
      <alignment vertical="center" wrapText="1"/>
    </xf>
    <xf numFmtId="0" fontId="14" fillId="27" borderId="26" xfId="0" applyFont="1" applyFill="1" applyBorder="1" applyAlignment="1">
      <alignment horizontal="center" vertical="center"/>
    </xf>
    <xf numFmtId="0" fontId="20" fillId="26" borderId="1" xfId="0" applyFont="1" applyFill="1" applyBorder="1" applyAlignment="1">
      <alignment horizontal="center"/>
    </xf>
    <xf numFmtId="0" fontId="20" fillId="26" borderId="1" xfId="0" applyFont="1" applyFill="1" applyBorder="1" applyAlignment="1">
      <alignment horizontal="center" vertical="center"/>
    </xf>
    <xf numFmtId="0" fontId="20" fillId="20" borderId="38" xfId="0" applyFont="1" applyFill="1" applyBorder="1" applyAlignment="1">
      <alignment horizontal="center"/>
    </xf>
    <xf numFmtId="0" fontId="20" fillId="20" borderId="47" xfId="0" applyFont="1" applyFill="1" applyBorder="1" applyAlignment="1">
      <alignment horizontal="center"/>
    </xf>
    <xf numFmtId="0" fontId="20" fillId="20" borderId="1" xfId="0" applyFont="1" applyFill="1" applyBorder="1" applyAlignment="1">
      <alignment horizontal="center"/>
    </xf>
    <xf numFmtId="0" fontId="20" fillId="26" borderId="93" xfId="0" applyFont="1" applyFill="1" applyBorder="1" applyAlignment="1">
      <alignment horizontal="center"/>
    </xf>
    <xf numFmtId="0" fontId="14" fillId="25" borderId="94" xfId="0" applyFont="1" applyFill="1" applyBorder="1" applyAlignment="1">
      <alignment horizontal="center" vertical="center"/>
    </xf>
    <xf numFmtId="0" fontId="20" fillId="20" borderId="94" xfId="0" applyFont="1" applyFill="1" applyBorder="1" applyAlignment="1">
      <alignment horizontal="center"/>
    </xf>
    <xf numFmtId="0" fontId="20" fillId="25" borderId="94" xfId="0" applyFont="1" applyFill="1" applyBorder="1" applyAlignment="1">
      <alignment horizontal="center"/>
    </xf>
    <xf numFmtId="0" fontId="14" fillId="25" borderId="94" xfId="0" applyFont="1" applyFill="1" applyBorder="1" applyAlignment="1">
      <alignment horizontal="center"/>
    </xf>
    <xf numFmtId="0" fontId="20" fillId="20" borderId="74" xfId="0" applyFont="1" applyFill="1" applyBorder="1" applyAlignment="1">
      <alignment horizontal="center"/>
    </xf>
    <xf numFmtId="0" fontId="0" fillId="0" borderId="54" xfId="0" applyBorder="1"/>
    <xf numFmtId="0" fontId="20" fillId="26" borderId="0" xfId="0" applyFont="1" applyFill="1"/>
    <xf numFmtId="0" fontId="20" fillId="25" borderId="0" xfId="0" applyFont="1" applyFill="1"/>
    <xf numFmtId="0" fontId="50" fillId="0" borderId="0" xfId="0" applyFont="1" applyAlignment="1">
      <alignment vertical="top" wrapText="1"/>
    </xf>
    <xf numFmtId="2" fontId="29" fillId="28" borderId="78" xfId="9" applyNumberFormat="1" applyFont="1" applyBorder="1" applyAlignment="1" applyProtection="1">
      <alignment vertical="center"/>
    </xf>
    <xf numFmtId="2" fontId="29" fillId="28" borderId="55" xfId="9" applyNumberFormat="1" applyFont="1" applyBorder="1" applyAlignment="1" applyProtection="1">
      <alignment vertical="center"/>
    </xf>
    <xf numFmtId="0" fontId="50" fillId="0" borderId="1" xfId="0" applyFont="1" applyBorder="1" applyAlignment="1">
      <alignment vertical="top" wrapText="1"/>
    </xf>
    <xf numFmtId="0" fontId="50" fillId="0" borderId="90" xfId="0" applyFont="1" applyBorder="1" applyAlignment="1">
      <alignment vertical="top" wrapText="1"/>
    </xf>
    <xf numFmtId="0" fontId="50" fillId="0" borderId="64" xfId="0" applyFont="1" applyBorder="1" applyAlignment="1">
      <alignment vertical="top" wrapText="1"/>
    </xf>
    <xf numFmtId="164" fontId="45" fillId="0" borderId="64" xfId="11" applyNumberFormat="1" applyFont="1" applyFill="1" applyBorder="1" applyAlignment="1" applyProtection="1">
      <alignment horizontal="center" vertical="center" wrapText="1"/>
      <protection locked="0"/>
    </xf>
    <xf numFmtId="0" fontId="45" fillId="0" borderId="52" xfId="0" applyFont="1" applyBorder="1" applyAlignment="1" applyProtection="1">
      <alignment horizontal="center" vertical="center" wrapText="1"/>
      <protection locked="0"/>
    </xf>
    <xf numFmtId="0" fontId="45" fillId="0" borderId="86" xfId="0" applyFont="1" applyBorder="1" applyAlignment="1" applyProtection="1">
      <alignment horizontal="center" vertical="center" wrapText="1"/>
      <protection locked="0"/>
    </xf>
    <xf numFmtId="0" fontId="45" fillId="0" borderId="59" xfId="0" applyFont="1" applyBorder="1" applyAlignment="1" applyProtection="1">
      <alignment horizontal="center" vertical="center" wrapText="1"/>
      <protection locked="0"/>
    </xf>
    <xf numFmtId="0" fontId="45" fillId="0" borderId="64" xfId="0" applyFont="1" applyBorder="1" applyAlignment="1" applyProtection="1">
      <alignment horizontal="center" vertical="center" wrapText="1"/>
      <protection locked="0"/>
    </xf>
    <xf numFmtId="164" fontId="45" fillId="0" borderId="50" xfId="11" applyNumberFormat="1" applyFont="1" applyFill="1" applyBorder="1" applyAlignment="1" applyProtection="1">
      <alignment horizontal="center" vertical="center" wrapText="1"/>
      <protection locked="0"/>
    </xf>
    <xf numFmtId="0" fontId="54" fillId="0" borderId="96" xfId="0" applyFont="1" applyBorder="1" applyAlignment="1">
      <alignment horizontal="center" vertical="center" wrapText="1"/>
    </xf>
    <xf numFmtId="0" fontId="54" fillId="0" borderId="95" xfId="0" applyFont="1" applyBorder="1" applyAlignment="1">
      <alignment horizontal="center" vertical="center" wrapText="1"/>
    </xf>
    <xf numFmtId="0" fontId="46" fillId="0" borderId="96" xfId="0" applyFont="1" applyBorder="1" applyAlignment="1">
      <alignment horizontal="center" vertical="center" wrapText="1"/>
    </xf>
    <xf numFmtId="0" fontId="0" fillId="0" borderId="101" xfId="0" applyBorder="1"/>
    <xf numFmtId="0" fontId="46" fillId="20" borderId="99" xfId="0" applyFont="1" applyFill="1" applyBorder="1" applyAlignment="1" applyProtection="1">
      <alignment vertical="center" wrapText="1"/>
      <protection locked="0"/>
    </xf>
    <xf numFmtId="0" fontId="46" fillId="20" borderId="98" xfId="0" applyFont="1" applyFill="1" applyBorder="1" applyAlignment="1" applyProtection="1">
      <alignment vertical="center" wrapText="1"/>
      <protection locked="0"/>
    </xf>
    <xf numFmtId="0" fontId="46" fillId="20" borderId="97" xfId="0" applyFont="1" applyFill="1" applyBorder="1" applyAlignment="1" applyProtection="1">
      <alignment vertical="center" wrapText="1"/>
      <protection locked="0"/>
    </xf>
    <xf numFmtId="0" fontId="46" fillId="20" borderId="106" xfId="0" applyFont="1" applyFill="1" applyBorder="1" applyAlignment="1" applyProtection="1">
      <alignment vertical="center" wrapText="1"/>
      <protection locked="0"/>
    </xf>
    <xf numFmtId="0" fontId="46" fillId="20" borderId="100" xfId="0" applyFont="1" applyFill="1" applyBorder="1" applyAlignment="1" applyProtection="1">
      <alignment vertical="center" wrapText="1"/>
      <protection locked="0"/>
    </xf>
    <xf numFmtId="0" fontId="46" fillId="20" borderId="41" xfId="0" applyFont="1" applyFill="1" applyBorder="1" applyAlignment="1" applyProtection="1">
      <alignment vertical="center" wrapText="1"/>
      <protection locked="0"/>
    </xf>
    <xf numFmtId="0" fontId="46" fillId="20" borderId="1" xfId="0" applyFont="1" applyFill="1" applyBorder="1" applyAlignment="1" applyProtection="1">
      <alignment vertical="center" wrapText="1"/>
      <protection locked="0"/>
    </xf>
    <xf numFmtId="0" fontId="46" fillId="20" borderId="102" xfId="0" applyFont="1" applyFill="1" applyBorder="1" applyAlignment="1" applyProtection="1">
      <alignment vertical="center" wrapText="1"/>
      <protection locked="0"/>
    </xf>
    <xf numFmtId="2" fontId="38" fillId="33" borderId="27" xfId="0" applyNumberFormat="1" applyFont="1" applyFill="1" applyBorder="1" applyAlignment="1" applyProtection="1">
      <alignment horizontal="center" vertical="center"/>
      <protection locked="0"/>
    </xf>
    <xf numFmtId="2" fontId="19" fillId="3" borderId="29" xfId="0" applyNumberFormat="1" applyFont="1" applyFill="1" applyBorder="1" applyAlignment="1" applyProtection="1">
      <alignment horizontal="center" vertical="center"/>
      <protection locked="0"/>
    </xf>
    <xf numFmtId="2" fontId="32" fillId="33" borderId="32" xfId="0" applyNumberFormat="1" applyFont="1" applyFill="1" applyBorder="1" applyAlignment="1" applyProtection="1">
      <alignment horizontal="center" vertical="center"/>
      <protection locked="0"/>
    </xf>
    <xf numFmtId="0" fontId="1" fillId="0" borderId="1" xfId="13"/>
    <xf numFmtId="0" fontId="5" fillId="23" borderId="28" xfId="0" applyFont="1" applyFill="1" applyBorder="1" applyAlignment="1">
      <alignment horizontal="center" vertical="center"/>
    </xf>
    <xf numFmtId="164" fontId="56" fillId="40" borderId="110" xfId="12" applyNumberFormat="1" applyFont="1" applyFill="1" applyBorder="1" applyAlignment="1">
      <alignment horizontal="center" vertical="center" wrapText="1"/>
    </xf>
    <xf numFmtId="164" fontId="56" fillId="37" borderId="1" xfId="13" applyNumberFormat="1" applyFont="1" applyFill="1" applyAlignment="1">
      <alignment horizontal="center" vertical="center" wrapText="1"/>
    </xf>
    <xf numFmtId="164" fontId="55" fillId="37" borderId="1" xfId="13" applyNumberFormat="1" applyFont="1" applyFill="1" applyAlignment="1">
      <alignment horizontal="center" vertical="center" wrapText="1"/>
    </xf>
    <xf numFmtId="164" fontId="56" fillId="40" borderId="116" xfId="12" applyNumberFormat="1" applyFont="1" applyFill="1" applyBorder="1" applyAlignment="1">
      <alignment horizontal="center" vertical="center" wrapText="1"/>
    </xf>
    <xf numFmtId="164" fontId="56" fillId="40" borderId="117" xfId="12" applyNumberFormat="1" applyFont="1" applyFill="1" applyBorder="1" applyAlignment="1">
      <alignment horizontal="center" vertical="center" wrapText="1"/>
    </xf>
    <xf numFmtId="164" fontId="56" fillId="37" borderId="125" xfId="13" applyNumberFormat="1" applyFont="1" applyFill="1" applyBorder="1" applyAlignment="1">
      <alignment horizontal="center" vertical="center" wrapText="1"/>
    </xf>
    <xf numFmtId="164" fontId="55" fillId="37" borderId="130" xfId="13" applyNumberFormat="1" applyFont="1" applyFill="1" applyBorder="1" applyAlignment="1">
      <alignment horizontal="center" vertical="center" wrapText="1"/>
    </xf>
    <xf numFmtId="164" fontId="55" fillId="39" borderId="107" xfId="12" applyNumberFormat="1" applyFont="1" applyBorder="1" applyAlignment="1" applyProtection="1">
      <alignment horizontal="center" vertical="center" wrapText="1"/>
      <protection locked="0"/>
    </xf>
    <xf numFmtId="164" fontId="55" fillId="39" borderId="2" xfId="12" applyNumberFormat="1" applyFont="1" applyAlignment="1" applyProtection="1">
      <alignment horizontal="center" vertical="center" wrapText="1"/>
      <protection locked="0"/>
    </xf>
    <xf numFmtId="164" fontId="55" fillId="39" borderId="108" xfId="12" applyNumberFormat="1" applyFont="1" applyBorder="1" applyAlignment="1" applyProtection="1">
      <alignment horizontal="center" vertical="center" wrapText="1"/>
      <protection locked="0"/>
    </xf>
    <xf numFmtId="164" fontId="55" fillId="39" borderId="110" xfId="12" applyNumberFormat="1" applyFont="1" applyBorder="1" applyAlignment="1" applyProtection="1">
      <alignment horizontal="center" vertical="center" wrapText="1"/>
      <protection locked="0"/>
    </xf>
    <xf numFmtId="164" fontId="55" fillId="39" borderId="107" xfId="12" applyNumberFormat="1" applyFont="1" applyBorder="1" applyAlignment="1" applyProtection="1">
      <alignment horizontal="center" vertical="center"/>
      <protection locked="0"/>
    </xf>
    <xf numFmtId="164" fontId="55" fillId="39" borderId="2" xfId="12" applyNumberFormat="1" applyFont="1" applyAlignment="1" applyProtection="1">
      <alignment horizontal="center" vertical="center"/>
      <protection locked="0"/>
    </xf>
    <xf numFmtId="164" fontId="55" fillId="39" borderId="110" xfId="12" applyNumberFormat="1" applyFont="1" applyBorder="1" applyAlignment="1" applyProtection="1">
      <alignment horizontal="center" vertical="center"/>
      <protection locked="0"/>
    </xf>
    <xf numFmtId="0" fontId="44" fillId="40" borderId="52" xfId="1" applyFont="1" applyFill="1" applyBorder="1" applyAlignment="1" applyProtection="1">
      <alignment horizontal="center" vertical="center" wrapText="1"/>
    </xf>
    <xf numFmtId="0" fontId="13" fillId="40" borderId="52" xfId="1" applyFont="1" applyFill="1" applyBorder="1" applyAlignment="1" applyProtection="1">
      <alignment horizontal="center" vertical="center" wrapText="1"/>
    </xf>
    <xf numFmtId="0" fontId="13" fillId="40" borderId="59" xfId="1" applyFont="1" applyFill="1" applyBorder="1" applyAlignment="1" applyProtection="1">
      <alignment horizontal="center" vertical="center" wrapText="1"/>
    </xf>
    <xf numFmtId="0" fontId="13" fillId="6" borderId="64" xfId="10" applyFont="1" applyBorder="1" applyAlignment="1" applyProtection="1">
      <alignment horizontal="center" vertical="center"/>
    </xf>
    <xf numFmtId="0" fontId="45" fillId="41" borderId="0" xfId="0" applyFont="1" applyFill="1" applyAlignment="1">
      <alignment horizontal="center" vertical="center"/>
    </xf>
    <xf numFmtId="0" fontId="13" fillId="6" borderId="87" xfId="10" applyFont="1" applyBorder="1" applyAlignment="1" applyProtection="1">
      <alignment horizontal="center" vertical="center"/>
    </xf>
    <xf numFmtId="0" fontId="45" fillId="41" borderId="70" xfId="0" applyFont="1" applyFill="1" applyBorder="1" applyAlignment="1">
      <alignment horizontal="center" vertical="center"/>
    </xf>
    <xf numFmtId="0" fontId="45" fillId="41" borderId="50" xfId="0" applyFont="1" applyFill="1" applyBorder="1" applyAlignment="1">
      <alignment horizontal="center" vertical="center"/>
    </xf>
    <xf numFmtId="0" fontId="13" fillId="0" borderId="78" xfId="1" applyFont="1" applyBorder="1" applyAlignment="1" applyProtection="1">
      <alignment horizontal="center" vertical="center"/>
    </xf>
    <xf numFmtId="0" fontId="13" fillId="0" borderId="88" xfId="1" applyFont="1" applyBorder="1" applyAlignment="1" applyProtection="1">
      <alignment horizontal="center" vertical="center"/>
    </xf>
    <xf numFmtId="0" fontId="13" fillId="0" borderId="87" xfId="1" applyFont="1" applyBorder="1" applyAlignment="1" applyProtection="1">
      <alignment horizontal="center" vertical="center"/>
    </xf>
    <xf numFmtId="0" fontId="13" fillId="6" borderId="86" xfId="10" applyFont="1" applyBorder="1" applyAlignment="1" applyProtection="1">
      <alignment horizontal="center" vertical="center"/>
    </xf>
    <xf numFmtId="0" fontId="13" fillId="6" borderId="89" xfId="10" applyFont="1" applyBorder="1" applyAlignment="1" applyProtection="1">
      <alignment horizontal="center" vertical="center"/>
    </xf>
    <xf numFmtId="0" fontId="13" fillId="6" borderId="52" xfId="10" applyFont="1" applyBorder="1" applyAlignment="1" applyProtection="1">
      <alignment horizontal="center" vertical="center"/>
    </xf>
    <xf numFmtId="0" fontId="45" fillId="41" borderId="57" xfId="0" applyFont="1" applyFill="1" applyBorder="1" applyAlignment="1">
      <alignment horizontal="center" vertical="center"/>
    </xf>
    <xf numFmtId="0" fontId="45" fillId="41" borderId="58" xfId="0" applyFont="1" applyFill="1" applyBorder="1" applyAlignment="1">
      <alignment horizontal="center" vertical="center"/>
    </xf>
    <xf numFmtId="0" fontId="13" fillId="6" borderId="56" xfId="10" applyFont="1" applyBorder="1" applyAlignment="1" applyProtection="1">
      <alignment horizontal="center" vertical="center"/>
    </xf>
    <xf numFmtId="0" fontId="13" fillId="6" borderId="59" xfId="10" applyFont="1" applyBorder="1" applyAlignment="1" applyProtection="1">
      <alignment horizontal="center" vertical="center"/>
    </xf>
    <xf numFmtId="164" fontId="56" fillId="39" borderId="107" xfId="12" applyNumberFormat="1" applyFont="1" applyBorder="1" applyAlignment="1">
      <alignment horizontal="left" vertical="center" wrapText="1"/>
    </xf>
    <xf numFmtId="164" fontId="56" fillId="39" borderId="2" xfId="12" applyNumberFormat="1" applyFont="1" applyAlignment="1">
      <alignment horizontal="left" vertical="center" wrapText="1"/>
    </xf>
    <xf numFmtId="164" fontId="56" fillId="39" borderId="108" xfId="12" applyNumberFormat="1" applyFont="1" applyBorder="1" applyAlignment="1">
      <alignment horizontal="left" vertical="center" wrapText="1"/>
    </xf>
    <xf numFmtId="164" fontId="56" fillId="39" borderId="110" xfId="12" applyNumberFormat="1" applyFont="1" applyBorder="1" applyAlignment="1">
      <alignment horizontal="left" vertical="center" wrapText="1"/>
    </xf>
    <xf numFmtId="0" fontId="57" fillId="0" borderId="0" xfId="0" applyFont="1" applyAlignment="1">
      <alignment vertical="center" wrapText="1"/>
    </xf>
    <xf numFmtId="0" fontId="46" fillId="0" borderId="0" xfId="0" applyFont="1" applyAlignment="1">
      <alignment vertical="center" wrapText="1"/>
    </xf>
    <xf numFmtId="2" fontId="38" fillId="33" borderId="19" xfId="0" applyNumberFormat="1" applyFont="1" applyFill="1" applyBorder="1" applyAlignment="1" applyProtection="1">
      <alignment horizontal="center" vertical="center"/>
      <protection locked="0"/>
    </xf>
    <xf numFmtId="0" fontId="5" fillId="23" borderId="22" xfId="0" applyFont="1" applyFill="1" applyBorder="1" applyAlignment="1">
      <alignment horizontal="center" vertical="center"/>
    </xf>
    <xf numFmtId="0" fontId="6" fillId="0" borderId="1" xfId="0" applyFont="1" applyBorder="1"/>
    <xf numFmtId="2" fontId="36" fillId="32" borderId="66" xfId="1" applyNumberFormat="1" applyFont="1" applyFill="1" applyBorder="1" applyAlignment="1" applyProtection="1">
      <alignment horizontal="center"/>
    </xf>
    <xf numFmtId="0" fontId="30" fillId="4" borderId="69" xfId="0" applyFont="1" applyFill="1" applyBorder="1" applyAlignment="1">
      <alignment horizontal="center" vertical="center"/>
    </xf>
    <xf numFmtId="0" fontId="30" fillId="4" borderId="68" xfId="0" applyFont="1" applyFill="1" applyBorder="1" applyAlignment="1">
      <alignment horizontal="center" vertical="center"/>
    </xf>
    <xf numFmtId="0" fontId="30" fillId="4" borderId="69" xfId="0" applyFont="1" applyFill="1" applyBorder="1" applyAlignment="1">
      <alignment vertical="center"/>
    </xf>
    <xf numFmtId="0" fontId="30" fillId="4" borderId="68" xfId="0" applyFont="1" applyFill="1" applyBorder="1" applyAlignment="1">
      <alignment vertical="center"/>
    </xf>
    <xf numFmtId="0" fontId="5" fillId="47" borderId="1" xfId="0" applyFont="1" applyFill="1" applyBorder="1" applyProtection="1">
      <protection locked="0"/>
    </xf>
    <xf numFmtId="0" fontId="5" fillId="0" borderId="1" xfId="0" applyFont="1" applyBorder="1" applyAlignment="1" applyProtection="1">
      <alignment horizontal="center"/>
      <protection locked="0"/>
    </xf>
    <xf numFmtId="0" fontId="5" fillId="2" borderId="1" xfId="0" applyFont="1" applyFill="1" applyBorder="1" applyAlignment="1" applyProtection="1">
      <alignment horizontal="center"/>
      <protection locked="0"/>
    </xf>
    <xf numFmtId="0" fontId="0" fillId="0" borderId="0" xfId="0" applyProtection="1">
      <protection locked="0"/>
    </xf>
    <xf numFmtId="0" fontId="30" fillId="4" borderId="67" xfId="0" applyFont="1" applyFill="1" applyBorder="1" applyAlignment="1" applyProtection="1">
      <alignment horizontal="left" vertical="center"/>
      <protection locked="0"/>
    </xf>
    <xf numFmtId="0" fontId="30" fillId="4" borderId="67"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37" fillId="34" borderId="72" xfId="0" applyFont="1" applyFill="1" applyBorder="1" applyAlignment="1" applyProtection="1">
      <alignment horizontal="center" vertical="center" wrapText="1"/>
      <protection locked="0"/>
    </xf>
    <xf numFmtId="0" fontId="37" fillId="34" borderId="53" xfId="0" applyFont="1" applyFill="1" applyBorder="1" applyAlignment="1" applyProtection="1">
      <alignment horizontal="center" vertical="center" wrapText="1"/>
      <protection locked="0"/>
    </xf>
    <xf numFmtId="0" fontId="32" fillId="33" borderId="91" xfId="0" applyFont="1" applyFill="1" applyBorder="1" applyAlignment="1" applyProtection="1">
      <alignment horizontal="center" vertical="center"/>
      <protection locked="0"/>
    </xf>
    <xf numFmtId="0" fontId="32" fillId="33" borderId="92" xfId="0" applyFont="1" applyFill="1" applyBorder="1" applyAlignment="1" applyProtection="1">
      <alignment horizontal="center" vertical="center"/>
      <protection locked="0"/>
    </xf>
    <xf numFmtId="0" fontId="32" fillId="33" borderId="72" xfId="0" applyFont="1" applyFill="1" applyBorder="1" applyAlignment="1" applyProtection="1">
      <alignment horizontal="center" vertical="center"/>
      <protection locked="0"/>
    </xf>
    <xf numFmtId="0" fontId="32" fillId="33" borderId="93" xfId="0" applyFont="1" applyFill="1" applyBorder="1" applyAlignment="1" applyProtection="1">
      <alignment horizontal="center" vertical="center"/>
      <protection locked="0"/>
    </xf>
    <xf numFmtId="2" fontId="13" fillId="0" borderId="76" xfId="1" applyNumberFormat="1" applyFont="1" applyBorder="1" applyAlignment="1" applyProtection="1">
      <alignment horizontal="center" vertical="center"/>
      <protection locked="0"/>
    </xf>
    <xf numFmtId="0" fontId="0" fillId="0" borderId="54" xfId="0" applyBorder="1" applyProtection="1">
      <protection locked="0"/>
    </xf>
    <xf numFmtId="0" fontId="46" fillId="0" borderId="90" xfId="0" applyFont="1" applyBorder="1" applyAlignment="1" applyProtection="1">
      <alignment vertical="center"/>
      <protection locked="0"/>
    </xf>
    <xf numFmtId="0" fontId="0" fillId="0" borderId="90" xfId="0" applyBorder="1" applyAlignment="1" applyProtection="1">
      <alignment vertical="center"/>
      <protection locked="0"/>
    </xf>
    <xf numFmtId="0" fontId="0" fillId="0" borderId="1" xfId="0" applyBorder="1" applyProtection="1">
      <protection locked="0"/>
    </xf>
    <xf numFmtId="164" fontId="9" fillId="0" borderId="0" xfId="0" applyNumberFormat="1" applyFont="1" applyAlignment="1" applyProtection="1">
      <alignment horizontal="center" vertical="center"/>
      <protection locked="0"/>
    </xf>
    <xf numFmtId="0" fontId="46" fillId="0" borderId="1" xfId="0" applyFont="1" applyBorder="1" applyAlignment="1" applyProtection="1">
      <alignment vertical="center"/>
      <protection locked="0"/>
    </xf>
    <xf numFmtId="0" fontId="8" fillId="0" borderId="0" xfId="0" applyFont="1" applyAlignment="1" applyProtection="1">
      <alignment vertical="center" textRotation="90"/>
      <protection locked="0"/>
    </xf>
    <xf numFmtId="0" fontId="8" fillId="0" borderId="0" xfId="0" applyFont="1" applyAlignment="1" applyProtection="1">
      <alignment vertical="center"/>
      <protection locked="0"/>
    </xf>
    <xf numFmtId="0" fontId="46" fillId="0" borderId="1" xfId="0" applyFont="1" applyBorder="1" applyAlignment="1">
      <alignment vertical="center"/>
    </xf>
    <xf numFmtId="0" fontId="0" fillId="0" borderId="1" xfId="0" applyBorder="1" applyAlignment="1">
      <alignment vertical="center"/>
    </xf>
    <xf numFmtId="0" fontId="46" fillId="0" borderId="39" xfId="0" applyFont="1" applyBorder="1" applyAlignment="1">
      <alignment vertical="center"/>
    </xf>
    <xf numFmtId="0" fontId="0" fillId="0" borderId="39" xfId="0" applyBorder="1" applyAlignment="1">
      <alignment vertical="center"/>
    </xf>
    <xf numFmtId="49" fontId="46" fillId="0" borderId="0" xfId="0" applyNumberFormat="1" applyFont="1"/>
    <xf numFmtId="2" fontId="0" fillId="0" borderId="0" xfId="0" applyNumberFormat="1"/>
    <xf numFmtId="0" fontId="5" fillId="45" borderId="23" xfId="0" applyFont="1" applyFill="1" applyBorder="1" applyAlignment="1">
      <alignment horizontal="right" vertical="center"/>
    </xf>
    <xf numFmtId="0" fontId="5" fillId="46" borderId="27" xfId="0" applyFont="1" applyFill="1" applyBorder="1" applyAlignment="1">
      <alignment horizontal="left" vertical="center"/>
    </xf>
    <xf numFmtId="0" fontId="68" fillId="45" borderId="28" xfId="0" applyFont="1" applyFill="1" applyBorder="1" applyAlignment="1">
      <alignment horizontal="center" vertical="center"/>
    </xf>
    <xf numFmtId="0" fontId="45" fillId="24" borderId="80" xfId="8" applyFont="1" applyBorder="1" applyAlignment="1" applyProtection="1">
      <alignment horizontal="center" vertical="center"/>
      <protection locked="0"/>
    </xf>
    <xf numFmtId="0" fontId="13" fillId="0" borderId="132" xfId="0" applyFont="1" applyBorder="1" applyAlignment="1">
      <alignment horizontal="center" vertical="center"/>
    </xf>
    <xf numFmtId="0" fontId="40" fillId="38" borderId="133" xfId="0" applyFont="1" applyFill="1" applyBorder="1" applyAlignment="1" applyProtection="1">
      <alignment horizontal="center" vertical="center"/>
      <protection locked="0"/>
    </xf>
    <xf numFmtId="0" fontId="40" fillId="38" borderId="40" xfId="0" applyFont="1" applyFill="1" applyBorder="1" applyAlignment="1">
      <alignment horizontal="center" vertical="center"/>
    </xf>
    <xf numFmtId="0" fontId="40" fillId="38" borderId="80" xfId="0" applyFont="1" applyFill="1" applyBorder="1" applyAlignment="1">
      <alignment horizontal="center" vertical="center"/>
    </xf>
    <xf numFmtId="0" fontId="40" fillId="38" borderId="64" xfId="0" applyFont="1" applyFill="1" applyBorder="1" applyAlignment="1" applyProtection="1">
      <alignment horizontal="center" vertical="center"/>
      <protection locked="0"/>
    </xf>
    <xf numFmtId="0" fontId="40" fillId="38" borderId="134" xfId="0" applyFont="1" applyFill="1" applyBorder="1" applyAlignment="1">
      <alignment horizontal="center" vertical="center"/>
    </xf>
    <xf numFmtId="0" fontId="14" fillId="30" borderId="30" xfId="0" applyFont="1" applyFill="1" applyBorder="1" applyAlignment="1" applyProtection="1">
      <alignment horizontal="center" vertical="center"/>
      <protection locked="0"/>
    </xf>
    <xf numFmtId="0" fontId="14" fillId="30" borderId="80" xfId="0" applyFont="1" applyFill="1" applyBorder="1" applyAlignment="1">
      <alignment horizontal="center" vertical="center"/>
    </xf>
    <xf numFmtId="2" fontId="45" fillId="24" borderId="135" xfId="8" applyNumberFormat="1" applyFont="1" applyBorder="1" applyAlignment="1" applyProtection="1">
      <alignment horizontal="center" vertical="center"/>
    </xf>
    <xf numFmtId="0" fontId="1" fillId="0" borderId="41" xfId="13" applyBorder="1"/>
    <xf numFmtId="0" fontId="19" fillId="3" borderId="43" xfId="0" applyFont="1" applyFill="1" applyBorder="1" applyAlignment="1">
      <alignment horizontal="left" vertical="center"/>
    </xf>
    <xf numFmtId="2" fontId="14" fillId="24" borderId="139" xfId="8" applyNumberFormat="1" applyFont="1" applyBorder="1" applyAlignment="1" applyProtection="1">
      <alignment horizontal="center" vertical="center"/>
    </xf>
    <xf numFmtId="0" fontId="61" fillId="43" borderId="0" xfId="0" applyFont="1" applyFill="1" applyAlignment="1">
      <alignment horizontal="center" vertical="center"/>
    </xf>
    <xf numFmtId="0" fontId="57" fillId="44" borderId="0" xfId="0" applyFont="1" applyFill="1" applyAlignment="1">
      <alignment horizontal="center" vertical="center" wrapText="1"/>
    </xf>
    <xf numFmtId="0" fontId="50" fillId="0" borderId="54" xfId="0" applyFont="1" applyBorder="1" applyAlignment="1">
      <alignment horizontal="center" vertical="top" wrapText="1"/>
    </xf>
    <xf numFmtId="0" fontId="50" fillId="0" borderId="1" xfId="0" applyFont="1" applyBorder="1" applyAlignment="1">
      <alignment horizontal="center" vertical="top" wrapText="1"/>
    </xf>
    <xf numFmtId="0" fontId="46" fillId="0" borderId="1" xfId="0" applyFont="1" applyBorder="1" applyAlignment="1">
      <alignment horizontal="left" vertical="center"/>
    </xf>
    <xf numFmtId="0" fontId="50" fillId="0" borderId="70" xfId="0" applyFont="1" applyBorder="1" applyAlignment="1">
      <alignment horizontal="center" vertical="top" wrapText="1"/>
    </xf>
    <xf numFmtId="0" fontId="50" fillId="0" borderId="50" xfId="0" applyFont="1" applyBorder="1" applyAlignment="1">
      <alignment horizontal="center" vertical="top" wrapText="1"/>
    </xf>
    <xf numFmtId="0" fontId="46" fillId="0" borderId="0" xfId="0" applyFont="1" applyAlignment="1">
      <alignment horizontal="center" wrapText="1"/>
    </xf>
    <xf numFmtId="0" fontId="50" fillId="0" borderId="1" xfId="0" applyFont="1" applyBorder="1" applyAlignment="1">
      <alignment horizontal="center" vertical="top" wrapText="1" readingOrder="2"/>
    </xf>
    <xf numFmtId="0" fontId="50" fillId="0" borderId="86" xfId="0" applyFont="1" applyBorder="1" applyAlignment="1">
      <alignment horizontal="center" vertical="top" wrapText="1" readingOrder="2"/>
    </xf>
    <xf numFmtId="0" fontId="14" fillId="30" borderId="60" xfId="0" applyFont="1" applyFill="1" applyBorder="1" applyAlignment="1">
      <alignment horizontal="center" vertical="center"/>
    </xf>
    <xf numFmtId="0" fontId="14" fillId="30" borderId="55" xfId="0" applyFont="1" applyFill="1" applyBorder="1" applyAlignment="1">
      <alignment horizontal="center" vertical="center"/>
    </xf>
    <xf numFmtId="0" fontId="50" fillId="0" borderId="86" xfId="0" applyFont="1" applyBorder="1" applyAlignment="1">
      <alignment horizontal="center" vertical="top" wrapText="1"/>
    </xf>
    <xf numFmtId="0" fontId="50" fillId="0" borderId="52" xfId="0" applyFont="1" applyBorder="1" applyAlignment="1">
      <alignment horizontal="center" vertical="top" wrapText="1"/>
    </xf>
    <xf numFmtId="0" fontId="50" fillId="0" borderId="50" xfId="0" applyFont="1" applyBorder="1" applyAlignment="1">
      <alignment horizontal="center" vertical="top" wrapText="1" readingOrder="2"/>
    </xf>
    <xf numFmtId="0" fontId="50" fillId="0" borderId="52" xfId="0" applyFont="1" applyBorder="1" applyAlignment="1">
      <alignment horizontal="center" vertical="top" wrapText="1" readingOrder="2"/>
    </xf>
    <xf numFmtId="0" fontId="49" fillId="0" borderId="90" xfId="0" applyFont="1" applyBorder="1" applyAlignment="1">
      <alignment horizontal="center" vertical="center" wrapText="1"/>
    </xf>
    <xf numFmtId="0" fontId="49" fillId="0" borderId="64" xfId="0" applyFont="1" applyBorder="1" applyAlignment="1">
      <alignment horizontal="center" vertical="center" wrapText="1"/>
    </xf>
    <xf numFmtId="0" fontId="49" fillId="0" borderId="1" xfId="0" applyFont="1" applyBorder="1" applyAlignment="1">
      <alignment horizontal="center" vertical="center" wrapText="1"/>
    </xf>
    <xf numFmtId="0" fontId="49" fillId="0" borderId="86" xfId="0" applyFont="1" applyBorder="1" applyAlignment="1">
      <alignment horizontal="center" vertical="center" wrapText="1"/>
    </xf>
    <xf numFmtId="0" fontId="49" fillId="0" borderId="50" xfId="0" applyFont="1" applyBorder="1" applyAlignment="1">
      <alignment horizontal="center" vertical="center" wrapText="1"/>
    </xf>
    <xf numFmtId="0" fontId="49" fillId="0" borderId="52"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50" xfId="0" applyFont="1" applyBorder="1" applyAlignment="1">
      <alignment horizontal="center" vertical="center" wrapText="1"/>
    </xf>
    <xf numFmtId="0" fontId="51" fillId="0" borderId="1" xfId="0" applyFont="1" applyBorder="1" applyAlignment="1">
      <alignment horizontal="center" vertical="center" wrapText="1"/>
    </xf>
    <xf numFmtId="0" fontId="51" fillId="0" borderId="86" xfId="0" applyFont="1" applyBorder="1" applyAlignment="1">
      <alignment horizontal="center" vertical="center" wrapText="1"/>
    </xf>
    <xf numFmtId="0" fontId="51" fillId="0" borderId="50" xfId="0" applyFont="1" applyBorder="1" applyAlignment="1">
      <alignment horizontal="center" vertical="center" wrapText="1"/>
    </xf>
    <xf numFmtId="0" fontId="51" fillId="0" borderId="52" xfId="0" applyFont="1" applyBorder="1" applyAlignment="1">
      <alignment horizontal="center" vertical="center" wrapText="1"/>
    </xf>
    <xf numFmtId="0" fontId="20" fillId="25" borderId="1" xfId="0" applyFont="1" applyFill="1" applyBorder="1" applyAlignment="1">
      <alignment horizontal="center"/>
    </xf>
    <xf numFmtId="0" fontId="49" fillId="0" borderId="77" xfId="0" applyFont="1" applyBorder="1" applyAlignment="1">
      <alignment horizontal="center" vertical="center" wrapText="1"/>
    </xf>
    <xf numFmtId="0" fontId="49" fillId="0" borderId="54" xfId="0" applyFont="1" applyBorder="1" applyAlignment="1">
      <alignment horizontal="center" vertical="center" wrapText="1"/>
    </xf>
    <xf numFmtId="0" fontId="49" fillId="0" borderId="70" xfId="0" applyFont="1" applyBorder="1" applyAlignment="1">
      <alignment horizontal="center" vertical="center" wrapText="1"/>
    </xf>
    <xf numFmtId="2" fontId="14" fillId="30" borderId="64" xfId="0" applyNumberFormat="1" applyFont="1" applyFill="1" applyBorder="1" applyAlignment="1">
      <alignment horizontal="center" vertical="center"/>
    </xf>
    <xf numFmtId="2" fontId="14" fillId="30" borderId="86" xfId="0" applyNumberFormat="1" applyFont="1" applyFill="1" applyBorder="1" applyAlignment="1">
      <alignment horizontal="center" vertical="center"/>
    </xf>
    <xf numFmtId="2" fontId="14" fillId="30" borderId="90" xfId="0" applyNumberFormat="1" applyFont="1" applyFill="1" applyBorder="1" applyAlignment="1">
      <alignment horizontal="center" vertical="center"/>
    </xf>
    <xf numFmtId="2" fontId="14" fillId="30" borderId="1" xfId="0" applyNumberFormat="1" applyFont="1" applyFill="1" applyBorder="1" applyAlignment="1">
      <alignment horizontal="center" vertical="center"/>
    </xf>
    <xf numFmtId="0" fontId="20" fillId="26" borderId="0" xfId="0" applyFont="1" applyFill="1" applyAlignment="1">
      <alignment horizontal="center"/>
    </xf>
    <xf numFmtId="0" fontId="14" fillId="30" borderId="64" xfId="0" applyFont="1" applyFill="1" applyBorder="1" applyAlignment="1">
      <alignment horizontal="center" vertical="center"/>
    </xf>
    <xf numFmtId="0" fontId="14" fillId="30" borderId="86" xfId="0" applyFont="1" applyFill="1" applyBorder="1" applyAlignment="1">
      <alignment horizontal="center" vertical="center"/>
    </xf>
    <xf numFmtId="0" fontId="14" fillId="30" borderId="52" xfId="0" applyFont="1" applyFill="1" applyBorder="1" applyAlignment="1">
      <alignment horizontal="center" vertical="center"/>
    </xf>
    <xf numFmtId="0" fontId="14" fillId="30" borderId="90" xfId="0" applyFont="1" applyFill="1" applyBorder="1" applyAlignment="1">
      <alignment horizontal="center" vertical="center"/>
    </xf>
    <xf numFmtId="0" fontId="14" fillId="30" borderId="50" xfId="0" applyFont="1" applyFill="1" applyBorder="1" applyAlignment="1">
      <alignment horizontal="center" vertical="center"/>
    </xf>
    <xf numFmtId="0" fontId="14" fillId="30" borderId="78" xfId="0" applyFont="1" applyFill="1" applyBorder="1" applyAlignment="1">
      <alignment horizontal="center" vertical="center"/>
    </xf>
    <xf numFmtId="0" fontId="48" fillId="0" borderId="50" xfId="0" applyFont="1" applyBorder="1" applyAlignment="1">
      <alignment horizontal="center" vertical="center"/>
    </xf>
    <xf numFmtId="0" fontId="53" fillId="42" borderId="1" xfId="0" applyFont="1" applyFill="1" applyBorder="1" applyAlignment="1">
      <alignment horizontal="center" vertical="center" wrapText="1" readingOrder="2"/>
    </xf>
    <xf numFmtId="0" fontId="26" fillId="26" borderId="38" xfId="0" applyFont="1" applyFill="1" applyBorder="1" applyAlignment="1">
      <alignment horizontal="center" vertical="center" wrapText="1" shrinkToFit="1"/>
    </xf>
    <xf numFmtId="0" fontId="26" fillId="26" borderId="47" xfId="0" applyFont="1" applyFill="1" applyBorder="1" applyAlignment="1">
      <alignment horizontal="center" vertical="center" wrapText="1" shrinkToFit="1"/>
    </xf>
    <xf numFmtId="0" fontId="26" fillId="26" borderId="48" xfId="0" applyFont="1" applyFill="1" applyBorder="1" applyAlignment="1">
      <alignment horizontal="center" vertical="center" wrapText="1" shrinkToFit="1"/>
    </xf>
    <xf numFmtId="0" fontId="26" fillId="26" borderId="22" xfId="0" applyFont="1" applyFill="1" applyBorder="1" applyAlignment="1">
      <alignment horizontal="center" vertical="center" wrapText="1" shrinkToFit="1"/>
    </xf>
    <xf numFmtId="0" fontId="26" fillId="26" borderId="21" xfId="0" applyFont="1" applyFill="1" applyBorder="1" applyAlignment="1">
      <alignment horizontal="center" vertical="center" wrapText="1" shrinkToFit="1"/>
    </xf>
    <xf numFmtId="0" fontId="26" fillId="26" borderId="20" xfId="0" applyFont="1" applyFill="1" applyBorder="1" applyAlignment="1">
      <alignment horizontal="center" vertical="center" wrapText="1" shrinkToFit="1"/>
    </xf>
    <xf numFmtId="0" fontId="27" fillId="27" borderId="30" xfId="0" applyFont="1" applyFill="1" applyBorder="1" applyAlignment="1">
      <alignment horizontal="center" vertical="center"/>
    </xf>
    <xf numFmtId="0" fontId="27" fillId="27" borderId="26" xfId="0" applyFont="1" applyFill="1" applyBorder="1" applyAlignment="1">
      <alignment horizontal="center" vertical="center"/>
    </xf>
    <xf numFmtId="0" fontId="27" fillId="27" borderId="32" xfId="0" applyFont="1" applyFill="1" applyBorder="1" applyAlignment="1">
      <alignment horizontal="center" vertical="center"/>
    </xf>
    <xf numFmtId="0" fontId="14" fillId="30" borderId="1" xfId="0" applyFont="1" applyFill="1" applyBorder="1" applyAlignment="1">
      <alignment horizontal="center" vertical="center"/>
    </xf>
    <xf numFmtId="0" fontId="15" fillId="11" borderId="9" xfId="1" applyFont="1" applyFill="1" applyBorder="1" applyAlignment="1">
      <alignment horizontal="center" vertical="center"/>
    </xf>
    <xf numFmtId="0" fontId="15" fillId="11" borderId="10" xfId="1" applyFont="1" applyFill="1" applyBorder="1" applyAlignment="1">
      <alignment horizontal="center" vertical="center"/>
    </xf>
    <xf numFmtId="0" fontId="15" fillId="11" borderId="5" xfId="1" applyFont="1" applyFill="1" applyBorder="1" applyAlignment="1">
      <alignment horizontal="center" vertical="center" wrapText="1"/>
    </xf>
    <xf numFmtId="0" fontId="15" fillId="11" borderId="6" xfId="1" applyFont="1" applyFill="1" applyBorder="1" applyAlignment="1">
      <alignment horizontal="center" vertical="center" wrapText="1"/>
    </xf>
    <xf numFmtId="0" fontId="15" fillId="11" borderId="5" xfId="1" applyFont="1" applyFill="1" applyBorder="1" applyAlignment="1">
      <alignment horizontal="center" vertical="center"/>
    </xf>
    <xf numFmtId="0" fontId="15" fillId="11" borderId="6" xfId="1" applyFont="1" applyFill="1" applyBorder="1" applyAlignment="1">
      <alignment horizontal="center" vertical="center"/>
    </xf>
    <xf numFmtId="0" fontId="46" fillId="0" borderId="0" xfId="0" applyFont="1" applyAlignment="1">
      <alignment horizontal="center"/>
    </xf>
    <xf numFmtId="0" fontId="0" fillId="0" borderId="0" xfId="0" applyAlignment="1">
      <alignment horizontal="center"/>
    </xf>
    <xf numFmtId="0" fontId="16" fillId="15" borderId="10" xfId="6" applyFont="1" applyFill="1" applyBorder="1" applyAlignment="1">
      <alignment horizontal="center" vertical="center"/>
    </xf>
    <xf numFmtId="0" fontId="16" fillId="15" borderId="8" xfId="6" applyFont="1" applyFill="1" applyBorder="1" applyAlignment="1">
      <alignment horizontal="center" vertical="center"/>
    </xf>
    <xf numFmtId="0" fontId="16" fillId="17" borderId="9" xfId="4" applyFont="1" applyFill="1" applyBorder="1" applyAlignment="1">
      <alignment horizontal="center" vertical="center"/>
    </xf>
    <xf numFmtId="0" fontId="16" fillId="17" borderId="8" xfId="4" applyFont="1" applyFill="1" applyBorder="1" applyAlignment="1">
      <alignment horizontal="center" vertical="center"/>
    </xf>
    <xf numFmtId="0" fontId="15" fillId="11" borderId="8" xfId="1" applyFont="1" applyFill="1" applyBorder="1" applyAlignment="1">
      <alignment horizontal="center" vertical="center"/>
    </xf>
    <xf numFmtId="0" fontId="16" fillId="12" borderId="9" xfId="5" applyFont="1" applyFill="1" applyBorder="1" applyAlignment="1">
      <alignment horizontal="center" vertical="center"/>
    </xf>
    <xf numFmtId="0" fontId="16" fillId="12" borderId="10" xfId="5" applyFont="1" applyFill="1" applyBorder="1" applyAlignment="1">
      <alignment horizontal="center" vertical="center"/>
    </xf>
    <xf numFmtId="0" fontId="16" fillId="12" borderId="8" xfId="5" applyFont="1" applyFill="1" applyBorder="1" applyAlignment="1">
      <alignment horizontal="center" vertical="center"/>
    </xf>
    <xf numFmtId="0" fontId="15" fillId="19" borderId="5" xfId="2" applyFont="1" applyFill="1" applyBorder="1" applyAlignment="1">
      <alignment horizontal="center" vertical="center"/>
    </xf>
    <xf numFmtId="0" fontId="15" fillId="19" borderId="6" xfId="2" applyFont="1" applyFill="1" applyBorder="1" applyAlignment="1">
      <alignment horizontal="center" vertical="center"/>
    </xf>
    <xf numFmtId="0" fontId="17" fillId="14" borderId="5" xfId="3" applyFont="1" applyFill="1" applyBorder="1" applyAlignment="1">
      <alignment horizontal="center" vertical="center"/>
    </xf>
    <xf numFmtId="0" fontId="17" fillId="14" borderId="6" xfId="3" applyFont="1" applyFill="1" applyBorder="1" applyAlignment="1">
      <alignment horizontal="center" vertical="center"/>
    </xf>
    <xf numFmtId="0" fontId="15" fillId="13" borderId="5" xfId="2" applyFont="1" applyFill="1" applyBorder="1" applyAlignment="1">
      <alignment horizontal="center" vertical="center"/>
    </xf>
    <xf numFmtId="0" fontId="15" fillId="13" borderId="6" xfId="2" applyFont="1" applyFill="1" applyBorder="1" applyAlignment="1">
      <alignment horizontal="center" vertical="center"/>
    </xf>
    <xf numFmtId="0" fontId="16" fillId="16" borderId="9" xfId="7" applyFont="1" applyFill="1" applyBorder="1" applyAlignment="1">
      <alignment horizontal="center" vertical="center"/>
    </xf>
    <xf numFmtId="0" fontId="16" fillId="16" borderId="8" xfId="7" applyFont="1" applyFill="1" applyBorder="1" applyAlignment="1">
      <alignment horizontal="center" vertical="center"/>
    </xf>
    <xf numFmtId="0" fontId="16" fillId="15" borderId="9" xfId="6" applyFont="1" applyFill="1" applyBorder="1" applyAlignment="1">
      <alignment horizontal="center" vertical="center"/>
    </xf>
    <xf numFmtId="0" fontId="16" fillId="17" borderId="10" xfId="4" applyFont="1" applyFill="1" applyBorder="1" applyAlignment="1">
      <alignment horizontal="center" vertical="center"/>
    </xf>
    <xf numFmtId="0" fontId="28" fillId="29" borderId="136" xfId="0" applyFont="1" applyFill="1" applyBorder="1" applyAlignment="1">
      <alignment horizontal="center" vertical="center" wrapText="1"/>
    </xf>
    <xf numFmtId="0" fontId="28" fillId="29" borderId="137" xfId="0" applyFont="1" applyFill="1" applyBorder="1" applyAlignment="1">
      <alignment horizontal="center" vertical="center" wrapText="1"/>
    </xf>
    <xf numFmtId="0" fontId="28" fillId="29" borderId="138" xfId="0" applyFont="1" applyFill="1" applyBorder="1" applyAlignment="1">
      <alignment horizontal="center" vertical="center" wrapText="1"/>
    </xf>
    <xf numFmtId="0" fontId="41" fillId="29" borderId="140" xfId="0" applyFont="1" applyFill="1" applyBorder="1" applyAlignment="1">
      <alignment horizontal="center" vertical="center" wrapText="1"/>
    </xf>
    <xf numFmtId="0" fontId="41" fillId="29" borderId="81" xfId="0" applyFont="1" applyFill="1" applyBorder="1" applyAlignment="1">
      <alignment horizontal="center" vertical="center" wrapText="1"/>
    </xf>
    <xf numFmtId="0" fontId="41" fillId="29" borderId="102" xfId="0" applyFont="1" applyFill="1" applyBorder="1" applyAlignment="1">
      <alignment horizontal="center" vertical="center" wrapText="1"/>
    </xf>
    <xf numFmtId="0" fontId="0" fillId="0" borderId="1" xfId="0" applyBorder="1" applyAlignment="1">
      <alignment horizontal="left" vertical="center"/>
    </xf>
    <xf numFmtId="0" fontId="20" fillId="48" borderId="41" xfId="0" applyFont="1" applyFill="1" applyBorder="1" applyAlignment="1">
      <alignment horizontal="center"/>
    </xf>
    <xf numFmtId="0" fontId="71" fillId="0" borderId="141" xfId="0" applyFont="1" applyBorder="1" applyAlignment="1" applyProtection="1">
      <alignment horizontal="center" vertical="center"/>
      <protection locked="0"/>
    </xf>
    <xf numFmtId="0" fontId="54" fillId="0" borderId="39" xfId="0" applyFont="1" applyBorder="1" applyAlignment="1" applyProtection="1">
      <alignment horizontal="center" vertical="center"/>
      <protection locked="0"/>
    </xf>
    <xf numFmtId="0" fontId="54" fillId="0" borderId="142" xfId="0" applyFont="1" applyBorder="1" applyAlignment="1" applyProtection="1">
      <alignment horizontal="center" vertical="center"/>
      <protection locked="0"/>
    </xf>
    <xf numFmtId="0" fontId="54" fillId="0" borderId="140" xfId="0" applyFont="1" applyBorder="1" applyAlignment="1" applyProtection="1">
      <alignment horizontal="center" vertical="center"/>
      <protection locked="0"/>
    </xf>
    <xf numFmtId="0" fontId="54" fillId="0" borderId="81" xfId="0" applyFont="1" applyBorder="1" applyAlignment="1" applyProtection="1">
      <alignment horizontal="center" vertical="center"/>
      <protection locked="0"/>
    </xf>
    <xf numFmtId="0" fontId="54" fillId="0" borderId="102" xfId="0" applyFont="1" applyBorder="1" applyAlignment="1" applyProtection="1">
      <alignment horizontal="center" vertical="center"/>
      <protection locked="0"/>
    </xf>
    <xf numFmtId="0" fontId="5" fillId="23" borderId="15" xfId="0" applyFont="1" applyFill="1" applyBorder="1" applyAlignment="1">
      <alignment horizontal="center" vertical="center" wrapText="1"/>
    </xf>
    <xf numFmtId="0" fontId="5" fillId="23" borderId="17" xfId="0" applyFont="1" applyFill="1" applyBorder="1" applyAlignment="1">
      <alignment horizontal="center" vertical="center" wrapText="1"/>
    </xf>
    <xf numFmtId="0" fontId="5" fillId="23" borderId="16" xfId="0" applyFont="1" applyFill="1" applyBorder="1" applyAlignment="1">
      <alignment horizontal="center" vertical="center"/>
    </xf>
    <xf numFmtId="0" fontId="5" fillId="23" borderId="27" xfId="0" applyFont="1" applyFill="1" applyBorder="1" applyAlignment="1">
      <alignment horizontal="center" vertical="center"/>
    </xf>
    <xf numFmtId="0" fontId="5" fillId="0" borderId="16" xfId="0" applyFont="1" applyBorder="1" applyAlignment="1">
      <alignment horizontal="center" vertical="center"/>
    </xf>
    <xf numFmtId="0" fontId="5" fillId="0" borderId="28" xfId="0" applyFont="1" applyBorder="1" applyAlignment="1">
      <alignment horizontal="center" vertical="center"/>
    </xf>
    <xf numFmtId="0" fontId="5" fillId="23" borderId="28" xfId="0" applyFont="1" applyFill="1" applyBorder="1" applyAlignment="1">
      <alignment horizontal="center" vertical="center"/>
    </xf>
    <xf numFmtId="0" fontId="5" fillId="0" borderId="27" xfId="0" applyFont="1" applyBorder="1" applyAlignment="1">
      <alignment horizontal="center" vertical="center"/>
    </xf>
    <xf numFmtId="0" fontId="33" fillId="0" borderId="0" xfId="0" applyFont="1" applyAlignment="1">
      <alignment horizontal="left" vertical="center" wrapText="1"/>
    </xf>
    <xf numFmtId="0" fontId="7" fillId="0" borderId="0" xfId="0" applyFont="1" applyAlignment="1">
      <alignment horizontal="left" vertical="center"/>
    </xf>
    <xf numFmtId="0" fontId="33" fillId="0" borderId="31" xfId="0" applyFont="1" applyBorder="1" applyAlignment="1">
      <alignment horizontal="left" vertical="center"/>
    </xf>
    <xf numFmtId="0" fontId="7" fillId="0" borderId="31" xfId="0" applyFont="1" applyBorder="1" applyAlignment="1">
      <alignment horizontal="left" vertical="center"/>
    </xf>
    <xf numFmtId="0" fontId="5" fillId="0" borderId="15" xfId="0" applyFont="1" applyBorder="1" applyAlignment="1">
      <alignment horizontal="center" vertical="center" wrapText="1"/>
    </xf>
    <xf numFmtId="0" fontId="0" fillId="0" borderId="15" xfId="0" applyBorder="1" applyAlignment="1">
      <alignment horizontal="center" vertical="center"/>
    </xf>
    <xf numFmtId="0" fontId="4" fillId="0" borderId="15" xfId="0" applyFont="1" applyBorder="1" applyAlignment="1">
      <alignment horizontal="center" vertical="center"/>
    </xf>
    <xf numFmtId="0" fontId="5" fillId="23" borderId="18" xfId="0" applyFont="1" applyFill="1" applyBorder="1" applyAlignment="1">
      <alignment horizontal="center" vertical="center" wrapText="1"/>
    </xf>
    <xf numFmtId="0" fontId="0" fillId="23" borderId="15" xfId="0" applyFill="1" applyBorder="1" applyAlignment="1">
      <alignment horizontal="center" vertical="center"/>
    </xf>
    <xf numFmtId="0" fontId="4" fillId="23" borderId="17" xfId="0" applyFont="1" applyFill="1" applyBorder="1" applyAlignment="1">
      <alignment horizontal="center" vertical="center"/>
    </xf>
    <xf numFmtId="164" fontId="22" fillId="20" borderId="23" xfId="3" applyNumberFormat="1" applyFont="1" applyFill="1" applyBorder="1" applyAlignment="1" applyProtection="1">
      <alignment horizontal="center" vertical="center"/>
    </xf>
    <xf numFmtId="164" fontId="22" fillId="20" borderId="27" xfId="3" applyNumberFormat="1" applyFont="1" applyFill="1" applyBorder="1" applyAlignment="1" applyProtection="1">
      <alignment horizontal="center" vertical="center"/>
    </xf>
    <xf numFmtId="0" fontId="5" fillId="0" borderId="24" xfId="0" applyFont="1" applyBorder="1" applyAlignment="1">
      <alignment horizontal="center" vertical="center" wrapText="1"/>
    </xf>
    <xf numFmtId="0" fontId="5" fillId="0" borderId="1"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22"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7" xfId="0" applyFont="1" applyBorder="1" applyAlignment="1">
      <alignment horizontal="center" vertical="center" wrapText="1"/>
    </xf>
    <xf numFmtId="0" fontId="67" fillId="46" borderId="29" xfId="0" applyFont="1" applyFill="1" applyBorder="1" applyAlignment="1">
      <alignment horizontal="center" vertical="center" wrapText="1"/>
    </xf>
    <xf numFmtId="0" fontId="67" fillId="46" borderId="30" xfId="0" applyFont="1" applyFill="1" applyBorder="1" applyAlignment="1">
      <alignment horizontal="center" vertical="center" wrapText="1"/>
    </xf>
    <xf numFmtId="0" fontId="67" fillId="46" borderId="65" xfId="0" applyFont="1" applyFill="1" applyBorder="1" applyAlignment="1">
      <alignment horizontal="center" vertical="center" wrapText="1"/>
    </xf>
    <xf numFmtId="0" fontId="67" fillId="46" borderId="32" xfId="0" applyFont="1" applyFill="1" applyBorder="1" applyAlignment="1">
      <alignment horizontal="center" vertical="center" wrapText="1"/>
    </xf>
    <xf numFmtId="0" fontId="5" fillId="45" borderId="29" xfId="0" applyFont="1" applyFill="1" applyBorder="1" applyAlignment="1">
      <alignment horizontal="right" vertical="center"/>
    </xf>
    <xf numFmtId="0" fontId="5" fillId="45" borderId="24" xfId="0" applyFont="1" applyFill="1" applyBorder="1" applyAlignment="1">
      <alignment horizontal="right" vertical="center"/>
    </xf>
    <xf numFmtId="0" fontId="5" fillId="45" borderId="65" xfId="0" applyFont="1" applyFill="1" applyBorder="1" applyAlignment="1">
      <alignment horizontal="right" vertical="center"/>
    </xf>
    <xf numFmtId="0" fontId="5" fillId="46" borderId="30" xfId="0" applyFont="1" applyFill="1" applyBorder="1" applyAlignment="1">
      <alignment horizontal="left" vertical="center"/>
    </xf>
    <xf numFmtId="0" fontId="5" fillId="46" borderId="26" xfId="0" applyFont="1" applyFill="1" applyBorder="1" applyAlignment="1">
      <alignment horizontal="left" vertical="center"/>
    </xf>
    <xf numFmtId="0" fontId="5" fillId="46" borderId="32" xfId="0" applyFont="1" applyFill="1" applyBorder="1" applyAlignment="1">
      <alignment horizontal="left" vertical="center"/>
    </xf>
    <xf numFmtId="0" fontId="68" fillId="45" borderId="31" xfId="0" applyFont="1" applyFill="1" applyBorder="1" applyAlignment="1">
      <alignment horizontal="center" vertical="center"/>
    </xf>
    <xf numFmtId="0" fontId="5" fillId="45" borderId="25" xfId="0" applyFont="1" applyFill="1" applyBorder="1" applyAlignment="1">
      <alignment horizontal="center" vertical="center"/>
    </xf>
    <xf numFmtId="0" fontId="5" fillId="45" borderId="1" xfId="0" applyFont="1" applyFill="1" applyBorder="1" applyAlignment="1">
      <alignment horizontal="center" vertical="center"/>
    </xf>
    <xf numFmtId="0" fontId="31" fillId="20" borderId="1" xfId="0" applyFont="1" applyFill="1" applyBorder="1" applyAlignment="1">
      <alignment horizontal="center" vertical="center"/>
    </xf>
    <xf numFmtId="0" fontId="31" fillId="20" borderId="86" xfId="0" applyFont="1" applyFill="1" applyBorder="1" applyAlignment="1">
      <alignment horizontal="center" vertical="center"/>
    </xf>
    <xf numFmtId="2" fontId="34" fillId="36" borderId="50" xfId="1" applyNumberFormat="1" applyFont="1" applyFill="1" applyBorder="1" applyAlignment="1" applyProtection="1">
      <alignment horizontal="center" vertical="center"/>
    </xf>
    <xf numFmtId="2" fontId="34" fillId="36" borderId="52" xfId="1" applyNumberFormat="1" applyFont="1" applyFill="1" applyBorder="1" applyAlignment="1" applyProtection="1">
      <alignment horizontal="center" vertical="center"/>
    </xf>
    <xf numFmtId="2" fontId="34" fillId="36" borderId="1" xfId="1" applyNumberFormat="1" applyFont="1" applyFill="1" applyBorder="1" applyAlignment="1" applyProtection="1">
      <alignment horizontal="center" vertical="center"/>
    </xf>
    <xf numFmtId="2" fontId="34" fillId="36" borderId="86" xfId="1" applyNumberFormat="1" applyFont="1" applyFill="1" applyBorder="1" applyAlignment="1" applyProtection="1">
      <alignment horizontal="center" vertical="center"/>
    </xf>
    <xf numFmtId="0" fontId="31" fillId="20" borderId="31" xfId="0" applyFont="1" applyFill="1" applyBorder="1" applyAlignment="1">
      <alignment horizontal="center" vertical="center"/>
    </xf>
    <xf numFmtId="0" fontId="31" fillId="20" borderId="131" xfId="0" applyFont="1" applyFill="1" applyBorder="1" applyAlignment="1">
      <alignment horizontal="center" vertical="center"/>
    </xf>
    <xf numFmtId="0" fontId="31" fillId="4" borderId="78" xfId="0" applyFont="1" applyFill="1" applyBorder="1" applyAlignment="1">
      <alignment horizontal="center" vertical="center" wrapText="1"/>
    </xf>
    <xf numFmtId="0" fontId="31" fillId="4" borderId="55" xfId="0" applyFont="1" applyFill="1" applyBorder="1" applyAlignment="1">
      <alignment horizontal="center" vertical="center" wrapText="1"/>
    </xf>
    <xf numFmtId="0" fontId="31" fillId="23" borderId="63" xfId="0" applyFont="1" applyFill="1" applyBorder="1" applyAlignment="1">
      <alignment horizontal="center" vertical="center" wrapText="1"/>
    </xf>
    <xf numFmtId="0" fontId="31" fillId="23" borderId="15" xfId="0" applyFont="1" applyFill="1" applyBorder="1" applyAlignment="1">
      <alignment horizontal="center" vertical="center" wrapText="1"/>
    </xf>
    <xf numFmtId="0" fontId="31" fillId="23" borderId="73" xfId="0" applyFont="1" applyFill="1" applyBorder="1" applyAlignment="1">
      <alignment horizontal="center" vertical="center" wrapText="1"/>
    </xf>
    <xf numFmtId="0" fontId="31" fillId="4" borderId="77" xfId="0" applyFont="1" applyFill="1" applyBorder="1" applyAlignment="1">
      <alignment horizontal="center" vertical="center" wrapText="1"/>
    </xf>
    <xf numFmtId="0" fontId="31" fillId="4" borderId="70" xfId="0" applyFont="1" applyFill="1" applyBorder="1" applyAlignment="1">
      <alignment horizontal="center" vertical="center" wrapText="1"/>
    </xf>
    <xf numFmtId="0" fontId="31" fillId="4" borderId="64" xfId="0" applyFont="1" applyFill="1" applyBorder="1" applyAlignment="1">
      <alignment horizontal="center" vertical="center" wrapText="1"/>
    </xf>
    <xf numFmtId="0" fontId="31" fillId="4" borderId="52" xfId="0" applyFont="1" applyFill="1" applyBorder="1" applyAlignment="1">
      <alignment horizontal="center" vertical="center" wrapText="1"/>
    </xf>
    <xf numFmtId="0" fontId="27" fillId="37" borderId="78" xfId="0" applyFont="1" applyFill="1" applyBorder="1" applyAlignment="1">
      <alignment horizontal="center" vertical="center" wrapText="1"/>
    </xf>
    <xf numFmtId="0" fontId="27" fillId="37" borderId="55" xfId="0" applyFont="1" applyFill="1" applyBorder="1" applyAlignment="1">
      <alignment horizontal="center" vertical="center" wrapText="1"/>
    </xf>
    <xf numFmtId="0" fontId="31" fillId="31" borderId="63" xfId="0" applyFont="1" applyFill="1" applyBorder="1" applyAlignment="1">
      <alignment horizontal="center" vertical="center" wrapText="1"/>
    </xf>
    <xf numFmtId="0" fontId="31" fillId="31" borderId="15" xfId="0" applyFont="1" applyFill="1" applyBorder="1" applyAlignment="1">
      <alignment horizontal="center" vertical="center" wrapText="1"/>
    </xf>
    <xf numFmtId="0" fontId="31" fillId="31" borderId="73" xfId="0" applyFont="1" applyFill="1" applyBorder="1" applyAlignment="1">
      <alignment horizontal="center" vertical="center" wrapText="1"/>
    </xf>
    <xf numFmtId="0" fontId="31" fillId="31" borderId="57" xfId="0" applyFont="1" applyFill="1" applyBorder="1" applyAlignment="1">
      <alignment horizontal="center" vertical="center"/>
    </xf>
    <xf numFmtId="0" fontId="31" fillId="31" borderId="59" xfId="0" applyFont="1" applyFill="1" applyBorder="1" applyAlignment="1">
      <alignment horizontal="center" vertical="center"/>
    </xf>
    <xf numFmtId="0" fontId="31" fillId="23" borderId="57" xfId="0" applyFont="1" applyFill="1" applyBorder="1" applyAlignment="1">
      <alignment horizontal="center" vertical="center"/>
    </xf>
    <xf numFmtId="0" fontId="31" fillId="23" borderId="59" xfId="0" applyFont="1" applyFill="1" applyBorder="1" applyAlignment="1">
      <alignment horizontal="center" vertical="center"/>
    </xf>
    <xf numFmtId="0" fontId="31" fillId="23" borderId="67" xfId="0" applyFont="1" applyFill="1" applyBorder="1" applyAlignment="1">
      <alignment horizontal="center" vertical="center"/>
    </xf>
    <xf numFmtId="0" fontId="31" fillId="23" borderId="69" xfId="0" applyFont="1" applyFill="1" applyBorder="1" applyAlignment="1">
      <alignment horizontal="center" vertical="center"/>
    </xf>
    <xf numFmtId="164" fontId="56" fillId="39" borderId="107" xfId="12" applyNumberFormat="1" applyFont="1" applyBorder="1" applyAlignment="1">
      <alignment horizontal="left" vertical="top" textRotation="90" wrapText="1"/>
    </xf>
    <xf numFmtId="164" fontId="56" fillId="39" borderId="2" xfId="12" applyNumberFormat="1" applyFont="1" applyAlignment="1">
      <alignment horizontal="left" vertical="top" textRotation="90" wrapText="1"/>
    </xf>
    <xf numFmtId="0" fontId="1" fillId="0" borderId="2" xfId="13" applyBorder="1" applyAlignment="1">
      <alignment horizontal="left" vertical="top" textRotation="90" wrapText="1"/>
    </xf>
    <xf numFmtId="0" fontId="1" fillId="0" borderId="110" xfId="13" applyBorder="1" applyAlignment="1">
      <alignment horizontal="left" vertical="top" textRotation="90" wrapText="1"/>
    </xf>
    <xf numFmtId="164" fontId="56" fillId="39" borderId="112" xfId="12" applyNumberFormat="1" applyFont="1" applyBorder="1" applyAlignment="1">
      <alignment horizontal="left" vertical="center"/>
    </xf>
    <xf numFmtId="0" fontId="1" fillId="0" borderId="113" xfId="13" applyBorder="1" applyAlignment="1">
      <alignment horizontal="left" vertical="center"/>
    </xf>
    <xf numFmtId="164" fontId="56" fillId="39" borderId="114" xfId="12" applyNumberFormat="1" applyFont="1" applyBorder="1" applyAlignment="1">
      <alignment horizontal="left" vertical="center"/>
    </xf>
    <xf numFmtId="0" fontId="1" fillId="0" borderId="115" xfId="13" applyBorder="1" applyAlignment="1">
      <alignment horizontal="left" vertical="center"/>
    </xf>
    <xf numFmtId="164" fontId="56" fillId="39" borderId="116" xfId="12" applyNumberFormat="1" applyFont="1" applyBorder="1" applyAlignment="1">
      <alignment horizontal="left" vertical="center"/>
    </xf>
    <xf numFmtId="0" fontId="1" fillId="0" borderId="117" xfId="13" applyBorder="1" applyAlignment="1">
      <alignment horizontal="left" vertical="center"/>
    </xf>
    <xf numFmtId="164" fontId="56" fillId="39" borderId="110" xfId="12" applyNumberFormat="1" applyFont="1" applyBorder="1" applyAlignment="1">
      <alignment horizontal="left" vertical="top" textRotation="90" wrapText="1"/>
    </xf>
    <xf numFmtId="164" fontId="56" fillId="40" borderId="122" xfId="12" applyNumberFormat="1" applyFont="1" applyFill="1" applyBorder="1" applyAlignment="1">
      <alignment horizontal="center" vertical="center" textRotation="90" wrapText="1"/>
    </xf>
    <xf numFmtId="0" fontId="56" fillId="40" borderId="123" xfId="12" applyFont="1" applyFill="1" applyBorder="1" applyAlignment="1">
      <alignment horizontal="center" vertical="center" textRotation="90" wrapText="1"/>
    </xf>
    <xf numFmtId="0" fontId="13" fillId="40" borderId="50" xfId="1" applyFont="1" applyFill="1" applyBorder="1" applyAlignment="1">
      <alignment horizontal="center" vertical="center" wrapText="1"/>
    </xf>
    <xf numFmtId="164" fontId="56" fillId="39" borderId="111" xfId="12" applyNumberFormat="1" applyFont="1" applyBorder="1" applyAlignment="1">
      <alignment horizontal="left" vertical="top" textRotation="90" wrapText="1"/>
    </xf>
    <xf numFmtId="164" fontId="56" fillId="39" borderId="109" xfId="12" applyNumberFormat="1" applyFont="1" applyBorder="1" applyAlignment="1">
      <alignment horizontal="left" vertical="top" textRotation="90" wrapText="1"/>
    </xf>
    <xf numFmtId="164" fontId="56" fillId="40" borderId="108" xfId="12" applyNumberFormat="1" applyFont="1" applyFill="1" applyBorder="1" applyAlignment="1">
      <alignment horizontal="center" vertical="center" textRotation="90" wrapText="1"/>
    </xf>
    <xf numFmtId="164" fontId="56" fillId="40" borderId="109" xfId="12" applyNumberFormat="1" applyFont="1" applyFill="1" applyBorder="1" applyAlignment="1">
      <alignment horizontal="center" vertical="center" textRotation="90" wrapText="1"/>
    </xf>
    <xf numFmtId="164" fontId="55" fillId="37" borderId="128" xfId="12" applyNumberFormat="1" applyFont="1" applyFill="1" applyBorder="1" applyAlignment="1">
      <alignment horizontal="center" vertical="center" wrapText="1"/>
    </xf>
    <xf numFmtId="164" fontId="55" fillId="37" borderId="126" xfId="12" applyNumberFormat="1" applyFont="1" applyFill="1" applyBorder="1" applyAlignment="1">
      <alignment horizontal="center" vertical="center" wrapText="1"/>
    </xf>
    <xf numFmtId="164" fontId="55" fillId="37" borderId="129" xfId="12" applyNumberFormat="1" applyFont="1" applyFill="1" applyBorder="1" applyAlignment="1">
      <alignment horizontal="center" vertical="center" wrapText="1"/>
    </xf>
    <xf numFmtId="164" fontId="56" fillId="40" borderId="118" xfId="12" applyNumberFormat="1" applyFont="1" applyFill="1" applyBorder="1" applyAlignment="1">
      <alignment horizontal="center" vertical="center" wrapText="1"/>
    </xf>
    <xf numFmtId="164" fontId="56" fillId="40" borderId="109" xfId="12" applyNumberFormat="1" applyFont="1" applyFill="1" applyBorder="1" applyAlignment="1">
      <alignment horizontal="center" vertical="center" wrapText="1"/>
    </xf>
    <xf numFmtId="164" fontId="56" fillId="40" borderId="119" xfId="12" applyNumberFormat="1" applyFont="1" applyFill="1" applyBorder="1" applyAlignment="1">
      <alignment horizontal="center" vertical="center" wrapText="1"/>
    </xf>
    <xf numFmtId="164" fontId="56" fillId="40" borderId="124" xfId="12" applyNumberFormat="1" applyFont="1" applyFill="1" applyBorder="1" applyAlignment="1">
      <alignment horizontal="center" vertical="center" wrapText="1"/>
    </xf>
    <xf numFmtId="164" fontId="56" fillId="40" borderId="120" xfId="12" applyNumberFormat="1" applyFont="1" applyFill="1" applyBorder="1" applyAlignment="1">
      <alignment horizontal="center" vertical="center" wrapText="1"/>
    </xf>
    <xf numFmtId="164" fontId="56" fillId="40" borderId="121" xfId="12" applyNumberFormat="1" applyFont="1" applyFill="1" applyBorder="1" applyAlignment="1">
      <alignment horizontal="center" vertical="center" wrapText="1"/>
    </xf>
    <xf numFmtId="0" fontId="13" fillId="40" borderId="70" xfId="1" applyFont="1" applyFill="1" applyBorder="1" applyAlignment="1">
      <alignment horizontal="center" vertical="center" wrapText="1"/>
    </xf>
    <xf numFmtId="164" fontId="55" fillId="37" borderId="125" xfId="13" applyNumberFormat="1" applyFont="1" applyFill="1" applyBorder="1" applyAlignment="1">
      <alignment horizontal="center" vertical="center" wrapText="1"/>
    </xf>
    <xf numFmtId="164" fontId="55" fillId="37" borderId="126" xfId="13" applyNumberFormat="1" applyFont="1" applyFill="1" applyBorder="1" applyAlignment="1">
      <alignment horizontal="center" vertical="center" wrapText="1"/>
    </xf>
    <xf numFmtId="164" fontId="55" fillId="37" borderId="127" xfId="13" applyNumberFormat="1" applyFont="1" applyFill="1" applyBorder="1" applyAlignment="1">
      <alignment horizontal="center" vertical="center" wrapText="1"/>
    </xf>
    <xf numFmtId="164" fontId="55" fillId="37" borderId="128" xfId="13" applyNumberFormat="1" applyFont="1" applyFill="1" applyBorder="1" applyAlignment="1">
      <alignment horizontal="center" vertical="center" wrapText="1"/>
    </xf>
    <xf numFmtId="0" fontId="13" fillId="0" borderId="57" xfId="1" applyFont="1" applyBorder="1" applyAlignment="1" applyProtection="1">
      <alignment horizontal="center" vertical="center"/>
    </xf>
    <xf numFmtId="0" fontId="13" fillId="0" borderId="59" xfId="1" applyFont="1" applyBorder="1" applyAlignment="1" applyProtection="1">
      <alignment horizontal="center" vertical="center"/>
    </xf>
    <xf numFmtId="0" fontId="13" fillId="0" borderId="86" xfId="1" applyFont="1" applyBorder="1" applyAlignment="1" applyProtection="1">
      <alignment horizontal="center" vertical="center" wrapText="1"/>
    </xf>
    <xf numFmtId="0" fontId="13" fillId="0" borderId="52" xfId="1" applyFont="1" applyBorder="1" applyAlignment="1" applyProtection="1">
      <alignment horizontal="center" vertical="center" wrapText="1"/>
    </xf>
    <xf numFmtId="0" fontId="13" fillId="40" borderId="57" xfId="1" applyFont="1" applyFill="1" applyBorder="1" applyAlignment="1" applyProtection="1">
      <alignment horizontal="center" vertical="center" wrapText="1"/>
    </xf>
    <xf numFmtId="0" fontId="13" fillId="40" borderId="58" xfId="1" applyFont="1" applyFill="1" applyBorder="1" applyAlignment="1" applyProtection="1">
      <alignment horizontal="center" vertical="center" wrapText="1"/>
    </xf>
    <xf numFmtId="0" fontId="13" fillId="40" borderId="70" xfId="1" applyFont="1" applyFill="1" applyBorder="1" applyAlignment="1" applyProtection="1">
      <alignment horizontal="center" vertical="center" wrapText="1"/>
    </xf>
    <xf numFmtId="0" fontId="13" fillId="40" borderId="52" xfId="1" applyFont="1" applyFill="1" applyBorder="1" applyAlignment="1" applyProtection="1">
      <alignment horizontal="center" vertical="center" wrapText="1"/>
    </xf>
    <xf numFmtId="0" fontId="13" fillId="6" borderId="78" xfId="10" applyFont="1" applyBorder="1" applyAlignment="1" applyProtection="1">
      <alignment horizontal="center" vertical="center" wrapText="1"/>
    </xf>
    <xf numFmtId="0" fontId="13" fillId="6" borderId="55" xfId="10" applyFont="1" applyBorder="1" applyAlignment="1" applyProtection="1">
      <alignment horizontal="center" vertical="center" wrapText="1"/>
    </xf>
    <xf numFmtId="0" fontId="13" fillId="0" borderId="78" xfId="1" applyFont="1" applyBorder="1" applyAlignment="1" applyProtection="1">
      <alignment horizontal="center" vertical="center" wrapText="1"/>
    </xf>
    <xf numFmtId="0" fontId="13" fillId="0" borderId="60" xfId="1" applyFont="1" applyBorder="1" applyAlignment="1" applyProtection="1">
      <alignment horizontal="center" vertical="center" wrapText="1"/>
    </xf>
    <xf numFmtId="0" fontId="13" fillId="0" borderId="55" xfId="1" applyFont="1" applyBorder="1" applyAlignment="1" applyProtection="1">
      <alignment horizontal="center" vertical="center" wrapText="1"/>
    </xf>
    <xf numFmtId="0" fontId="13" fillId="6" borderId="60" xfId="10" applyFont="1" applyBorder="1" applyAlignment="1" applyProtection="1">
      <alignment horizontal="center" vertical="center" wrapText="1"/>
    </xf>
    <xf numFmtId="0" fontId="13" fillId="6" borderId="57" xfId="10" applyFont="1" applyBorder="1" applyAlignment="1" applyProtection="1">
      <alignment horizontal="center" vertical="center"/>
    </xf>
    <xf numFmtId="0" fontId="13" fillId="6" borderId="59" xfId="10" applyFont="1" applyBorder="1" applyAlignment="1" applyProtection="1">
      <alignment horizontal="center" vertical="center"/>
    </xf>
    <xf numFmtId="0" fontId="13" fillId="40" borderId="50" xfId="1" applyFont="1" applyFill="1" applyBorder="1" applyAlignment="1" applyProtection="1">
      <alignment horizontal="center" vertical="center" wrapText="1"/>
    </xf>
    <xf numFmtId="0" fontId="47" fillId="0" borderId="99" xfId="0" applyFont="1" applyBorder="1" applyAlignment="1">
      <alignment horizontal="center" vertical="center" wrapText="1"/>
    </xf>
    <xf numFmtId="0" fontId="47" fillId="0" borderId="98" xfId="0" applyFont="1" applyBorder="1" applyAlignment="1">
      <alignment horizontal="center" vertical="center" wrapText="1"/>
    </xf>
    <xf numFmtId="0" fontId="47" fillId="0" borderId="97" xfId="0" applyFont="1" applyBorder="1" applyAlignment="1">
      <alignment horizontal="center" vertical="center" wrapText="1"/>
    </xf>
    <xf numFmtId="0" fontId="47" fillId="0" borderId="103" xfId="0" applyFont="1" applyBorder="1" applyAlignment="1">
      <alignment horizontal="center" vertical="center" wrapText="1"/>
    </xf>
    <xf numFmtId="0" fontId="47" fillId="0" borderId="104" xfId="0" applyFont="1" applyBorder="1" applyAlignment="1">
      <alignment horizontal="center" vertical="center" wrapText="1"/>
    </xf>
    <xf numFmtId="0" fontId="47" fillId="0" borderId="105" xfId="0" applyFont="1" applyBorder="1" applyAlignment="1">
      <alignment horizontal="center" vertical="center" wrapText="1"/>
    </xf>
  </cellXfs>
  <cellStyles count="14">
    <cellStyle name="20% - Accent1" xfId="4" builtinId="30"/>
    <cellStyle name="20% - Accent5" xfId="7" builtinId="46"/>
    <cellStyle name="40% - Accent1" xfId="5" builtinId="31"/>
    <cellStyle name="40% - Accent2" xfId="9" builtinId="35"/>
    <cellStyle name="60% - Accent1" xfId="6" builtinId="32"/>
    <cellStyle name="Good" xfId="3" builtinId="26"/>
    <cellStyle name="Heading 1" xfId="1" builtinId="16"/>
    <cellStyle name="Heading 2" xfId="2" builtinId="17"/>
    <cellStyle name="Neutral" xfId="8" builtinId="28"/>
    <cellStyle name="Normal" xfId="0" builtinId="0"/>
    <cellStyle name="Note" xfId="11" builtinId="10"/>
    <cellStyle name="Output" xfId="10" builtinId="21"/>
    <cellStyle name="عادي 2" xfId="13" xr:uid="{00000000-0005-0000-0000-00000C000000}"/>
    <cellStyle name="ملاحظة 2" xfId="12" xr:uid="{00000000-0005-0000-0000-00000D000000}"/>
  </cellStyles>
  <dxfs count="256">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573"/>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b/>
        <i val="0"/>
        <color theme="1"/>
      </font>
      <fill>
        <patternFill>
          <bgColor rgb="FF00F573"/>
        </patternFill>
      </fill>
    </dxf>
    <dxf>
      <font>
        <b/>
        <i val="0"/>
        <color auto="1"/>
      </font>
      <fill>
        <patternFill>
          <bgColor rgb="FF00F573"/>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b/>
        <i val="0"/>
        <color auto="1"/>
      </font>
      <fill>
        <patternFill>
          <bgColor rgb="FF00FE73"/>
        </patternFill>
      </fill>
    </dxf>
    <dxf>
      <font>
        <b/>
        <i val="0"/>
        <color theme="1"/>
      </font>
      <fill>
        <patternFill>
          <bgColor rgb="FFFF3300"/>
        </patternFill>
      </fill>
    </dxf>
    <dxf>
      <font>
        <b/>
        <i val="0"/>
        <color theme="1"/>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573"/>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3300"/>
        </patternFill>
      </fill>
    </dxf>
    <dxf>
      <font>
        <color theme="3"/>
      </font>
      <fill>
        <patternFill>
          <bgColor rgb="FFFF3300"/>
        </patternFill>
      </fill>
    </dxf>
    <dxf>
      <font>
        <color theme="3"/>
      </font>
      <fill>
        <patternFill>
          <bgColor rgb="FF00FE73"/>
        </patternFill>
      </fill>
    </dxf>
    <dxf>
      <font>
        <color theme="3"/>
      </font>
      <fill>
        <patternFill>
          <bgColor rgb="FFFFFF00"/>
        </patternFill>
      </fill>
    </dxf>
    <dxf>
      <font>
        <color theme="3"/>
      </font>
      <fill>
        <patternFill>
          <bgColor rgb="FFFFFF00"/>
        </patternFill>
      </fill>
    </dxf>
    <dxf>
      <font>
        <color theme="3"/>
      </font>
      <fill>
        <patternFill>
          <bgColor rgb="FFFF3300"/>
        </patternFill>
      </fill>
    </dxf>
    <dxf>
      <font>
        <color theme="3"/>
      </font>
      <fill>
        <patternFill>
          <bgColor rgb="FFFF3300"/>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color rgb="FF595959"/>
      </font>
      <fill>
        <patternFill>
          <bgColor rgb="FF595959"/>
        </patternFill>
      </fill>
    </dxf>
    <dxf>
      <font>
        <color theme="1" tint="0.34998626667073579"/>
      </font>
      <fill>
        <patternFill>
          <bgColor rgb="FF595959"/>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b/>
        <i val="0"/>
        <color auto="1"/>
      </font>
      <fill>
        <patternFill>
          <bgColor theme="7" tint="0.59996337778862885"/>
        </patternFill>
      </fill>
    </dxf>
    <dxf>
      <font>
        <color theme="1" tint="0.34998626667073579"/>
      </font>
      <fill>
        <patternFill>
          <bgColor theme="1" tint="0.34998626667073579"/>
        </patternFill>
      </fill>
    </dxf>
    <dxf>
      <font>
        <b/>
        <i val="0"/>
        <color theme="1"/>
      </font>
      <fill>
        <patternFill>
          <bgColor theme="7" tint="0.59996337778862885"/>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color theme="1" tint="0.34998626667073579"/>
      </font>
      <fill>
        <patternFill>
          <bgColor theme="1" tint="0.34998626667073579"/>
        </patternFill>
      </fill>
    </dxf>
    <dxf>
      <font>
        <color rgb="FF595959"/>
      </font>
      <fill>
        <patternFill>
          <bgColor rgb="FF595959"/>
        </patternFill>
      </fill>
    </dxf>
    <dxf>
      <font>
        <color theme="1" tint="0.34998626667073579"/>
      </font>
      <fill>
        <patternFill>
          <bgColor rgb="FF595959"/>
        </patternFill>
      </fill>
    </dxf>
    <dxf>
      <font>
        <b/>
        <i val="0"/>
        <color theme="1"/>
      </font>
      <fill>
        <patternFill>
          <bgColor theme="7" tint="0.59996337778862885"/>
        </patternFill>
      </fill>
    </dxf>
    <dxf>
      <font>
        <b/>
        <i val="0"/>
        <color auto="1"/>
      </font>
      <fill>
        <patternFill>
          <bgColor theme="7" tint="0.59996337778862885"/>
        </patternFill>
      </fill>
    </dxf>
    <dxf>
      <font>
        <color rgb="FF595959"/>
      </font>
      <fill>
        <patternFill>
          <bgColor rgb="FF595959"/>
        </patternFill>
      </fill>
    </dxf>
    <dxf>
      <font>
        <color theme="1" tint="0.34998626667073579"/>
      </font>
      <fill>
        <patternFill>
          <bgColor rgb="FF595959"/>
        </patternFill>
      </fill>
    </dxf>
    <dxf>
      <font>
        <b/>
        <i val="0"/>
        <color auto="1"/>
      </font>
      <fill>
        <patternFill>
          <bgColor theme="7" tint="0.59996337778862885"/>
        </patternFill>
      </fill>
    </dxf>
    <dxf>
      <font>
        <color theme="1" tint="0.34998626667073579"/>
      </font>
      <fill>
        <patternFill>
          <bgColor theme="1" tint="0.34998626667073579"/>
        </patternFill>
      </fill>
    </dxf>
    <dxf>
      <font>
        <b/>
        <i val="0"/>
        <color theme="1"/>
      </font>
      <fill>
        <patternFill>
          <bgColor theme="7" tint="0.59996337778862885"/>
        </patternFill>
      </fill>
    </dxf>
    <dxf>
      <font>
        <color theme="1" tint="0.34998626667073579"/>
      </font>
      <fill>
        <patternFill>
          <bgColor theme="1" tint="0.34998626667073579"/>
        </patternFill>
      </fill>
    </dxf>
    <dxf>
      <font>
        <color theme="3"/>
      </font>
      <fill>
        <patternFill>
          <bgColor rgb="FFFF3300"/>
        </patternFill>
      </fill>
    </dxf>
    <dxf>
      <font>
        <color theme="1"/>
      </font>
      <fill>
        <patternFill>
          <bgColor rgb="FFFFC000"/>
        </patternFill>
      </fill>
    </dxf>
    <dxf>
      <font>
        <color rgb="FF006100"/>
      </font>
      <fill>
        <patternFill>
          <bgColor rgb="FFC6EFCE"/>
        </patternFill>
      </fill>
    </dxf>
    <dxf>
      <font>
        <color theme="1" tint="0.34998626667073579"/>
      </font>
      <fill>
        <patternFill>
          <bgColor theme="1" tint="0.34998626667073579"/>
        </patternFill>
      </fill>
    </dxf>
    <dxf>
      <fill>
        <patternFill>
          <bgColor rgb="FF66FF33"/>
        </patternFill>
      </fill>
    </dxf>
    <dxf>
      <font>
        <color rgb="FF9C0006"/>
      </font>
      <fill>
        <patternFill>
          <bgColor rgb="FFFFC7CE"/>
        </patternFill>
      </fill>
    </dxf>
    <dxf>
      <font>
        <color rgb="FF000000"/>
      </font>
      <fill>
        <patternFill>
          <bgColor rgb="FF66FF33"/>
        </patternFill>
      </fill>
    </dxf>
    <dxf>
      <font>
        <color rgb="FF9C0006"/>
      </font>
      <fill>
        <patternFill>
          <bgColor rgb="FFFFC7CE"/>
        </patternFill>
      </fill>
    </dxf>
    <dxf>
      <fill>
        <patternFill>
          <bgColor rgb="FF66FF33"/>
        </patternFill>
      </fill>
    </dxf>
    <dxf>
      <fill>
        <patternFill>
          <bgColor rgb="FF66FF33"/>
        </patternFill>
      </fill>
    </dxf>
    <dxf>
      <font>
        <color rgb="FF9C0006"/>
      </font>
      <fill>
        <patternFill>
          <bgColor rgb="FFFFC7CE"/>
        </patternFill>
      </fill>
    </dxf>
    <dxf>
      <font>
        <color rgb="FF1F497D"/>
      </font>
      <fill>
        <patternFill>
          <bgColor rgb="FFFF3300"/>
        </patternFill>
      </fill>
    </dxf>
    <dxf>
      <font>
        <color rgb="FF000000"/>
      </font>
      <fill>
        <patternFill>
          <bgColor rgb="FFFFC000"/>
        </patternFill>
      </fill>
    </dxf>
    <dxf>
      <font>
        <color rgb="FF006100"/>
      </font>
      <fill>
        <patternFill>
          <bgColor rgb="FFC6EFCE"/>
        </patternFill>
      </fill>
    </dxf>
    <dxf>
      <font>
        <color rgb="FF1F497D"/>
      </font>
      <fill>
        <patternFill>
          <bgColor rgb="FFFF0000"/>
        </patternFill>
      </fill>
    </dxf>
    <dxf>
      <font>
        <color rgb="FF006100"/>
      </font>
      <fill>
        <patternFill>
          <bgColor rgb="FFC6EFCE"/>
        </patternFill>
      </fill>
    </dxf>
    <dxf>
      <font>
        <color rgb="FF000000"/>
      </font>
      <fill>
        <patternFill>
          <bgColor rgb="FFFFC000"/>
        </patternFill>
      </fill>
    </dxf>
    <dxf>
      <font>
        <b/>
        <i val="0"/>
        <color auto="1"/>
      </font>
      <fill>
        <patternFill>
          <bgColor theme="7" tint="0.59996337778862885"/>
        </patternFill>
      </fill>
    </dxf>
    <dxf>
      <font>
        <b/>
        <i val="0"/>
        <color theme="1"/>
      </font>
      <fill>
        <patternFill>
          <bgColor theme="7" tint="0.59996337778862885"/>
        </patternFill>
      </fill>
    </dxf>
    <dxf>
      <fill>
        <patternFill patternType="solid">
          <fgColor rgb="FFF2DBDB"/>
          <bgColor rgb="FFF2DBDB"/>
        </patternFill>
      </fill>
    </dxf>
    <dxf>
      <fill>
        <patternFill patternType="solid">
          <fgColor rgb="FFE5B8B7"/>
          <bgColor rgb="FFE5B8B7"/>
        </patternFill>
      </fill>
    </dxf>
    <dxf>
      <fill>
        <patternFill patternType="solid">
          <fgColor rgb="FFFFFFFF"/>
          <bgColor rgb="FFFFFFFF"/>
        </patternFill>
      </fill>
    </dxf>
    <dxf>
      <fill>
        <patternFill patternType="solid">
          <fgColor rgb="FFF2DBDB"/>
          <bgColor rgb="FFF2DBDB"/>
        </patternFill>
      </fill>
    </dxf>
    <dxf>
      <fill>
        <patternFill patternType="solid">
          <fgColor rgb="FFE5B8B7"/>
          <bgColor rgb="FFE5B8B7"/>
        </patternFill>
      </fill>
    </dxf>
    <dxf>
      <fill>
        <patternFill patternType="solid">
          <fgColor rgb="FFFFFFFF"/>
          <bgColor rgb="FFFFFFFF"/>
        </patternFill>
      </fill>
    </dxf>
    <dxf>
      <fill>
        <patternFill patternType="solid">
          <fgColor rgb="FFDBE5F1"/>
          <bgColor rgb="FFDBE5F1"/>
        </patternFill>
      </fill>
    </dxf>
    <dxf>
      <fill>
        <patternFill patternType="solid">
          <fgColor rgb="FFE5DFEC"/>
          <bgColor rgb="FFE5DFEC"/>
        </patternFill>
      </fill>
    </dxf>
    <dxf>
      <fill>
        <patternFill patternType="solid">
          <fgColor rgb="FFFFFFFF"/>
          <bgColor rgb="FFFFFFFF"/>
        </patternFill>
      </fill>
    </dxf>
  </dxfs>
  <tableStyles count="3">
    <tableStyle name="Formula-style" pivot="0" count="3" xr9:uid="{00000000-0011-0000-FFFF-FFFF00000000}">
      <tableStyleElement type="headerRow" dxfId="255"/>
      <tableStyleElement type="firstRowStripe" dxfId="254"/>
      <tableStyleElement type="secondRowStripe" dxfId="253"/>
    </tableStyle>
    <tableStyle name="DM2-7-style" pivot="0" count="3" xr9:uid="{00000000-0011-0000-FFFF-FFFF01000000}">
      <tableStyleElement type="headerRow" dxfId="252"/>
      <tableStyleElement type="firstRowStripe" dxfId="251"/>
      <tableStyleElement type="secondRowStripe" dxfId="250"/>
    </tableStyle>
    <tableStyle name="DM2-10-style" pivot="0" count="3" xr9:uid="{00000000-0011-0000-FFFF-FFFF02000000}">
      <tableStyleElement type="headerRow" dxfId="249"/>
      <tableStyleElement type="firstRowStripe" dxfId="248"/>
      <tableStyleElement type="secondRowStripe" dxfId="247"/>
    </tableStyle>
  </tableStyles>
  <colors>
    <mruColors>
      <color rgb="FF0000FF"/>
      <color rgb="FFFF9999"/>
      <color rgb="FFC0FCCA"/>
      <color rgb="FF00FF00"/>
      <color rgb="FFFE829D"/>
      <color rgb="FFFCBAFE"/>
      <color rgb="FF66FF66"/>
      <color rgb="FF00FE73"/>
      <color rgb="FF595959"/>
      <color rgb="FFFF37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335280</xdr:colOff>
          <xdr:row>5</xdr:row>
          <xdr:rowOff>152400</xdr:rowOff>
        </xdr:from>
        <xdr:to>
          <xdr:col>3</xdr:col>
          <xdr:colOff>1051560</xdr:colOff>
          <xdr:row>7</xdr:row>
          <xdr:rowOff>22860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100" b="0" i="0" u="none" strike="noStrike" baseline="0">
                  <a:solidFill>
                    <a:srgbClr val="000000"/>
                  </a:solidFill>
                  <a:latin typeface="Arial"/>
                  <a:cs typeface="Arial"/>
                </a:rPr>
                <a:t>طباعة</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76200</xdr:rowOff>
        </xdr:from>
        <xdr:to>
          <xdr:col>0</xdr:col>
          <xdr:colOff>1264920</xdr:colOff>
          <xdr:row>0</xdr:row>
          <xdr:rowOff>487680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non diabeteic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0</xdr:row>
          <xdr:rowOff>541020</xdr:rowOff>
        </xdr:from>
        <xdr:to>
          <xdr:col>0</xdr:col>
          <xdr:colOff>1264920</xdr:colOff>
          <xdr:row>0</xdr:row>
          <xdr:rowOff>952500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2/10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1409700</xdr:colOff>
          <xdr:row>0</xdr:row>
          <xdr:rowOff>83820</xdr:rowOff>
        </xdr:from>
        <xdr:to>
          <xdr:col>1</xdr:col>
          <xdr:colOff>1188720</xdr:colOff>
          <xdr:row>0</xdr:row>
          <xdr:rowOff>487680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1402080</xdr:colOff>
          <xdr:row>0</xdr:row>
          <xdr:rowOff>556260</xdr:rowOff>
        </xdr:from>
        <xdr:to>
          <xdr:col>1</xdr:col>
          <xdr:colOff>1181100</xdr:colOff>
          <xdr:row>0</xdr:row>
          <xdr:rowOff>952500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2/5</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1">
    <pageSetUpPr fitToPage="1"/>
  </sheetPr>
  <dimension ref="A1:K37"/>
  <sheetViews>
    <sheetView zoomScale="82" zoomScaleNormal="82" zoomScaleSheetLayoutView="106" workbookViewId="0">
      <selection activeCell="A35" sqref="A35"/>
    </sheetView>
  </sheetViews>
  <sheetFormatPr defaultRowHeight="14.4"/>
  <sheetData>
    <row r="1" spans="1:11" ht="15" customHeight="1">
      <c r="A1" s="275" t="s">
        <v>237</v>
      </c>
      <c r="B1" s="275"/>
      <c r="C1" s="275"/>
      <c r="D1" s="275"/>
      <c r="E1" s="275"/>
      <c r="F1" s="275"/>
      <c r="G1" s="275"/>
      <c r="H1" s="275"/>
      <c r="I1" s="275"/>
      <c r="J1" s="28"/>
    </row>
    <row r="2" spans="1:11">
      <c r="A2" s="275"/>
      <c r="B2" s="275"/>
      <c r="C2" s="275"/>
      <c r="D2" s="275"/>
      <c r="E2" s="275"/>
      <c r="F2" s="275"/>
      <c r="G2" s="275"/>
      <c r="H2" s="275"/>
      <c r="I2" s="275"/>
      <c r="J2" s="28"/>
    </row>
    <row r="3" spans="1:11">
      <c r="A3" s="275"/>
      <c r="B3" s="275"/>
      <c r="C3" s="275"/>
      <c r="D3" s="275"/>
      <c r="E3" s="275"/>
      <c r="F3" s="275"/>
      <c r="G3" s="275"/>
      <c r="H3" s="275"/>
      <c r="I3" s="275"/>
      <c r="J3" s="28"/>
    </row>
    <row r="4" spans="1:11">
      <c r="A4" s="275"/>
      <c r="B4" s="275"/>
      <c r="C4" s="275"/>
      <c r="D4" s="275"/>
      <c r="E4" s="275"/>
      <c r="F4" s="275"/>
      <c r="G4" s="275"/>
      <c r="H4" s="275"/>
      <c r="I4" s="275"/>
      <c r="J4" s="28"/>
    </row>
    <row r="5" spans="1:11" ht="15" customHeight="1">
      <c r="A5" s="276" t="s">
        <v>245</v>
      </c>
      <c r="B5" s="276"/>
      <c r="C5" s="276"/>
      <c r="D5" s="276"/>
      <c r="E5" s="276"/>
      <c r="F5" s="276"/>
      <c r="G5" s="276"/>
      <c r="H5" s="276"/>
      <c r="I5" s="276"/>
      <c r="J5" s="222"/>
    </row>
    <row r="6" spans="1:11" ht="15" customHeight="1">
      <c r="A6" s="276"/>
      <c r="B6" s="276"/>
      <c r="C6" s="276"/>
      <c r="D6" s="276"/>
      <c r="E6" s="276"/>
      <c r="F6" s="276"/>
      <c r="G6" s="276"/>
      <c r="H6" s="276"/>
      <c r="I6" s="276"/>
      <c r="J6" s="222"/>
      <c r="K6" s="28"/>
    </row>
    <row r="7" spans="1:11" ht="15" customHeight="1">
      <c r="A7" s="276"/>
      <c r="B7" s="276"/>
      <c r="C7" s="276"/>
      <c r="D7" s="276"/>
      <c r="E7" s="276"/>
      <c r="F7" s="276"/>
      <c r="G7" s="276"/>
      <c r="H7" s="276"/>
      <c r="I7" s="276"/>
      <c r="J7" s="222"/>
    </row>
    <row r="8" spans="1:11" ht="15" customHeight="1">
      <c r="A8" s="276"/>
      <c r="B8" s="276"/>
      <c r="C8" s="276"/>
      <c r="D8" s="276"/>
      <c r="E8" s="276"/>
      <c r="F8" s="276"/>
      <c r="G8" s="276"/>
      <c r="H8" s="276"/>
      <c r="I8" s="276"/>
      <c r="J8" s="222"/>
    </row>
    <row r="9" spans="1:11" ht="15" customHeight="1">
      <c r="A9" s="276"/>
      <c r="B9" s="276"/>
      <c r="C9" s="276"/>
      <c r="D9" s="276"/>
      <c r="E9" s="276"/>
      <c r="F9" s="276"/>
      <c r="G9" s="276"/>
      <c r="H9" s="276"/>
      <c r="I9" s="276"/>
      <c r="J9" s="222"/>
    </row>
    <row r="10" spans="1:11" ht="15" customHeight="1">
      <c r="A10" s="276"/>
      <c r="B10" s="276"/>
      <c r="C10" s="276"/>
      <c r="D10" s="276"/>
      <c r="E10" s="276"/>
      <c r="F10" s="276"/>
      <c r="G10" s="276"/>
      <c r="H10" s="276"/>
      <c r="I10" s="276"/>
      <c r="J10" s="222"/>
    </row>
    <row r="11" spans="1:11" ht="15" customHeight="1">
      <c r="A11" s="276"/>
      <c r="B11" s="276"/>
      <c r="C11" s="276"/>
      <c r="D11" s="276"/>
      <c r="E11" s="276"/>
      <c r="F11" s="276"/>
      <c r="G11" s="276"/>
      <c r="H11" s="276"/>
      <c r="I11" s="276"/>
      <c r="J11" s="222"/>
    </row>
    <row r="12" spans="1:11" ht="15" customHeight="1">
      <c r="A12" s="276"/>
      <c r="B12" s="276"/>
      <c r="C12" s="276"/>
      <c r="D12" s="276"/>
      <c r="E12" s="276"/>
      <c r="F12" s="276"/>
      <c r="G12" s="276"/>
      <c r="H12" s="276"/>
      <c r="I12" s="276"/>
      <c r="J12" s="222"/>
    </row>
    <row r="13" spans="1:11" ht="15" customHeight="1">
      <c r="A13" s="276"/>
      <c r="B13" s="276"/>
      <c r="C13" s="276"/>
      <c r="D13" s="276"/>
      <c r="E13" s="276"/>
      <c r="F13" s="276"/>
      <c r="G13" s="276"/>
      <c r="H13" s="276"/>
      <c r="I13" s="276"/>
      <c r="J13" s="222"/>
    </row>
    <row r="14" spans="1:11" ht="15" customHeight="1">
      <c r="A14" s="276"/>
      <c r="B14" s="276"/>
      <c r="C14" s="276"/>
      <c r="D14" s="276"/>
      <c r="E14" s="276"/>
      <c r="F14" s="276"/>
      <c r="G14" s="276"/>
      <c r="H14" s="276"/>
      <c r="I14" s="276"/>
      <c r="J14" s="222"/>
    </row>
    <row r="15" spans="1:11" ht="15" customHeight="1">
      <c r="A15" s="276"/>
      <c r="B15" s="276"/>
      <c r="C15" s="276"/>
      <c r="D15" s="276"/>
      <c r="E15" s="276"/>
      <c r="F15" s="276"/>
      <c r="G15" s="276"/>
      <c r="H15" s="276"/>
      <c r="I15" s="276"/>
      <c r="J15" s="222"/>
    </row>
    <row r="16" spans="1:11" ht="15" customHeight="1">
      <c r="A16" s="276"/>
      <c r="B16" s="276"/>
      <c r="C16" s="276"/>
      <c r="D16" s="276"/>
      <c r="E16" s="276"/>
      <c r="F16" s="276"/>
      <c r="G16" s="276"/>
      <c r="H16" s="276"/>
      <c r="I16" s="276"/>
      <c r="J16" s="222"/>
    </row>
    <row r="17" spans="1:10" ht="15" customHeight="1">
      <c r="A17" s="276"/>
      <c r="B17" s="276"/>
      <c r="C17" s="276"/>
      <c r="D17" s="276"/>
      <c r="E17" s="276"/>
      <c r="F17" s="276"/>
      <c r="G17" s="276"/>
      <c r="H17" s="276"/>
      <c r="I17" s="276"/>
      <c r="J17" s="222"/>
    </row>
    <row r="18" spans="1:10" ht="15" customHeight="1">
      <c r="A18" s="276"/>
      <c r="B18" s="276"/>
      <c r="C18" s="276"/>
      <c r="D18" s="276"/>
      <c r="E18" s="276"/>
      <c r="F18" s="276"/>
      <c r="G18" s="276"/>
      <c r="H18" s="276"/>
      <c r="I18" s="276"/>
      <c r="J18" s="222"/>
    </row>
    <row r="19" spans="1:10" ht="15" customHeight="1">
      <c r="A19" s="276"/>
      <c r="B19" s="276"/>
      <c r="C19" s="276"/>
      <c r="D19" s="276"/>
      <c r="E19" s="276"/>
      <c r="F19" s="276"/>
      <c r="G19" s="276"/>
      <c r="H19" s="276"/>
      <c r="I19" s="276"/>
      <c r="J19" s="222"/>
    </row>
    <row r="20" spans="1:10" ht="15" customHeight="1">
      <c r="A20" s="276"/>
      <c r="B20" s="276"/>
      <c r="C20" s="276"/>
      <c r="D20" s="276"/>
      <c r="E20" s="276"/>
      <c r="F20" s="276"/>
      <c r="G20" s="276"/>
      <c r="H20" s="276"/>
      <c r="I20" s="276"/>
      <c r="J20" s="222"/>
    </row>
    <row r="21" spans="1:10" ht="15" customHeight="1">
      <c r="A21" s="276"/>
      <c r="B21" s="276"/>
      <c r="C21" s="276"/>
      <c r="D21" s="276"/>
      <c r="E21" s="276"/>
      <c r="F21" s="276"/>
      <c r="G21" s="276"/>
      <c r="H21" s="276"/>
      <c r="I21" s="276"/>
      <c r="J21" s="222"/>
    </row>
    <row r="22" spans="1:10" ht="15" customHeight="1">
      <c r="A22" s="276"/>
      <c r="B22" s="276"/>
      <c r="C22" s="276"/>
      <c r="D22" s="276"/>
      <c r="E22" s="276"/>
      <c r="F22" s="276"/>
      <c r="G22" s="276"/>
      <c r="H22" s="276"/>
      <c r="I22" s="276"/>
      <c r="J22" s="222"/>
    </row>
    <row r="23" spans="1:10" ht="15" customHeight="1">
      <c r="A23" s="276"/>
      <c r="B23" s="276"/>
      <c r="C23" s="276"/>
      <c r="D23" s="276"/>
      <c r="E23" s="276"/>
      <c r="F23" s="276"/>
      <c r="G23" s="276"/>
      <c r="H23" s="276"/>
      <c r="I23" s="276"/>
      <c r="J23" s="222"/>
    </row>
    <row r="24" spans="1:10" ht="15" customHeight="1">
      <c r="A24" s="276"/>
      <c r="B24" s="276"/>
      <c r="C24" s="276"/>
      <c r="D24" s="276"/>
      <c r="E24" s="276"/>
      <c r="F24" s="276"/>
      <c r="G24" s="276"/>
      <c r="H24" s="276"/>
      <c r="I24" s="276"/>
      <c r="J24" s="222"/>
    </row>
    <row r="25" spans="1:10" ht="15" customHeight="1">
      <c r="A25" s="276"/>
      <c r="B25" s="276"/>
      <c r="C25" s="276"/>
      <c r="D25" s="276"/>
      <c r="E25" s="276"/>
      <c r="F25" s="276"/>
      <c r="G25" s="276"/>
      <c r="H25" s="276"/>
      <c r="I25" s="276"/>
      <c r="J25" s="222"/>
    </row>
    <row r="26" spans="1:10" ht="15" customHeight="1">
      <c r="A26" s="276"/>
      <c r="B26" s="276"/>
      <c r="C26" s="276"/>
      <c r="D26" s="276"/>
      <c r="E26" s="276"/>
      <c r="F26" s="276"/>
      <c r="G26" s="276"/>
      <c r="H26" s="276"/>
      <c r="I26" s="276"/>
      <c r="J26" s="222"/>
    </row>
    <row r="27" spans="1:10" ht="15" customHeight="1">
      <c r="A27" s="276"/>
      <c r="B27" s="276"/>
      <c r="C27" s="276"/>
      <c r="D27" s="276"/>
      <c r="E27" s="276"/>
      <c r="F27" s="276"/>
      <c r="G27" s="276"/>
      <c r="H27" s="276"/>
      <c r="I27" s="276"/>
      <c r="J27" s="222"/>
    </row>
    <row r="28" spans="1:10" ht="15" customHeight="1">
      <c r="A28" s="276"/>
      <c r="B28" s="276"/>
      <c r="C28" s="276"/>
      <c r="D28" s="276"/>
      <c r="E28" s="276"/>
      <c r="F28" s="276"/>
      <c r="G28" s="276"/>
      <c r="H28" s="276"/>
      <c r="I28" s="276"/>
      <c r="J28" s="222"/>
    </row>
    <row r="29" spans="1:10" ht="15" customHeight="1">
      <c r="A29" s="276"/>
      <c r="B29" s="276"/>
      <c r="C29" s="276"/>
      <c r="D29" s="276"/>
      <c r="E29" s="276"/>
      <c r="F29" s="276"/>
      <c r="G29" s="276"/>
      <c r="H29" s="276"/>
      <c r="I29" s="276"/>
      <c r="J29" s="222"/>
    </row>
    <row r="30" spans="1:10" ht="15" customHeight="1">
      <c r="A30" s="276"/>
      <c r="B30" s="276"/>
      <c r="C30" s="276"/>
      <c r="D30" s="276"/>
      <c r="E30" s="276"/>
      <c r="F30" s="276"/>
      <c r="G30" s="276"/>
      <c r="H30" s="276"/>
      <c r="I30" s="276"/>
      <c r="J30" s="222"/>
    </row>
    <row r="31" spans="1:10" ht="15" customHeight="1">
      <c r="A31" s="276"/>
      <c r="B31" s="276"/>
      <c r="C31" s="276"/>
      <c r="D31" s="276"/>
      <c r="E31" s="276"/>
      <c r="F31" s="276"/>
      <c r="G31" s="276"/>
      <c r="H31" s="276"/>
      <c r="I31" s="276"/>
      <c r="J31" s="222"/>
    </row>
    <row r="32" spans="1:10" ht="15" customHeight="1">
      <c r="A32" s="276"/>
      <c r="B32" s="276"/>
      <c r="C32" s="276"/>
      <c r="D32" s="276"/>
      <c r="E32" s="276"/>
      <c r="F32" s="276"/>
      <c r="G32" s="276"/>
      <c r="H32" s="276"/>
      <c r="I32" s="276"/>
      <c r="J32" s="222"/>
    </row>
    <row r="33" spans="1:10" ht="15" customHeight="1">
      <c r="A33" s="276"/>
      <c r="B33" s="276"/>
      <c r="C33" s="276"/>
      <c r="D33" s="276"/>
      <c r="E33" s="276"/>
      <c r="F33" s="276"/>
      <c r="G33" s="276"/>
      <c r="H33" s="276"/>
      <c r="I33" s="276"/>
      <c r="J33" s="222"/>
    </row>
    <row r="34" spans="1:10" ht="15" customHeight="1">
      <c r="A34" s="276"/>
      <c r="B34" s="276"/>
      <c r="C34" s="276"/>
      <c r="D34" s="276"/>
      <c r="E34" s="276"/>
      <c r="F34" s="276"/>
      <c r="G34" s="276"/>
      <c r="H34" s="276"/>
      <c r="I34" s="276"/>
      <c r="J34" s="222"/>
    </row>
    <row r="35" spans="1:10" ht="15" customHeight="1">
      <c r="A35" s="221"/>
      <c r="B35" s="221"/>
      <c r="C35" s="221"/>
      <c r="D35" s="221"/>
      <c r="E35" s="221"/>
      <c r="F35" s="221"/>
      <c r="G35" s="221"/>
      <c r="H35" s="221"/>
      <c r="I35" s="221"/>
      <c r="J35" s="222"/>
    </row>
    <row r="36" spans="1:10" ht="15" customHeight="1">
      <c r="A36" s="221"/>
      <c r="B36" s="221"/>
      <c r="C36" s="221"/>
      <c r="D36" s="221"/>
      <c r="E36" s="221"/>
      <c r="F36" s="221"/>
      <c r="G36" s="221"/>
      <c r="H36" s="221"/>
      <c r="I36" s="221"/>
    </row>
    <row r="37" spans="1:10" ht="15" customHeight="1">
      <c r="A37" s="221"/>
      <c r="B37" s="221"/>
      <c r="C37" s="221"/>
      <c r="D37" s="221"/>
      <c r="E37" s="221"/>
      <c r="F37" s="221"/>
      <c r="G37" s="221"/>
      <c r="H37" s="221"/>
      <c r="I37" s="221"/>
    </row>
  </sheetData>
  <sheetProtection algorithmName="SHA-512" hashValue="4s3Jv2ALeuDPPHE0N1saSZ7x81jcNrYfKZSgNvIije4cB8pSSTGnye3O3p6D0KT6B4iLEc6A+2kwfZVuuzpeiA==" saltValue="F7QJp+FhOsDY+M5hNcHsuA==" spinCount="100000" sheet="1" objects="1" scenarios="1"/>
  <mergeCells count="2">
    <mergeCell ref="A1:I4"/>
    <mergeCell ref="A5:I34"/>
  </mergeCells>
  <pageMargins left="0.7" right="0.7" top="0.75" bottom="0.75" header="0.3" footer="0.3"/>
  <pageSetup paperSize="9" scale="87"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2">
    <pageSetUpPr fitToPage="1"/>
  </sheetPr>
  <dimension ref="A1:V78"/>
  <sheetViews>
    <sheetView topLeftCell="A40" zoomScale="84" zoomScaleNormal="84" workbookViewId="0">
      <selection activeCell="A49" sqref="A49:A64"/>
    </sheetView>
  </sheetViews>
  <sheetFormatPr defaultColWidth="8.88671875" defaultRowHeight="14.4"/>
  <cols>
    <col min="1" max="1" width="26.33203125" customWidth="1"/>
    <col min="2" max="2" width="13.6640625" customWidth="1"/>
    <col min="3" max="3" width="11.88671875" customWidth="1"/>
    <col min="4" max="4" width="11.44140625" customWidth="1"/>
    <col min="5" max="5" width="16" customWidth="1"/>
    <col min="6" max="6" width="13.109375" customWidth="1"/>
    <col min="7" max="7" width="15.6640625" customWidth="1"/>
    <col min="8" max="8" width="12.33203125" customWidth="1"/>
    <col min="10" max="10" width="20" customWidth="1"/>
    <col min="12" max="12" width="14.109375" customWidth="1"/>
  </cols>
  <sheetData>
    <row r="1" spans="1:22" ht="70.5" customHeight="1">
      <c r="A1" s="319" t="s">
        <v>89</v>
      </c>
      <c r="B1" s="319"/>
      <c r="C1" s="319"/>
      <c r="D1" s="319"/>
      <c r="E1" s="319"/>
      <c r="F1" s="319"/>
      <c r="G1" s="319"/>
      <c r="H1" s="319"/>
      <c r="I1" s="319"/>
      <c r="J1" s="319"/>
      <c r="K1" s="319"/>
      <c r="L1" s="319"/>
      <c r="M1" s="319"/>
      <c r="N1" s="319"/>
      <c r="O1" s="319"/>
      <c r="P1" s="319"/>
      <c r="Q1" s="319"/>
      <c r="R1" s="319"/>
      <c r="S1" s="319"/>
      <c r="T1" s="319"/>
      <c r="U1" s="319"/>
    </row>
    <row r="2" spans="1:22" ht="21" customHeight="1" thickBot="1">
      <c r="A2" s="318" t="s">
        <v>115</v>
      </c>
      <c r="B2" s="318"/>
      <c r="C2" s="318"/>
      <c r="D2" s="318"/>
      <c r="E2" s="318"/>
      <c r="F2" s="318"/>
      <c r="G2" s="28"/>
      <c r="H2" s="139"/>
      <c r="I2" s="28"/>
      <c r="J2" s="285" t="s">
        <v>10</v>
      </c>
      <c r="K2" s="277" t="s">
        <v>116</v>
      </c>
      <c r="L2" s="278"/>
      <c r="M2" s="278"/>
      <c r="N2" s="278"/>
      <c r="O2" s="278"/>
      <c r="P2" s="278"/>
      <c r="Q2" s="278"/>
      <c r="R2" s="278"/>
      <c r="S2" s="287"/>
      <c r="T2" s="156"/>
      <c r="U2" s="156"/>
      <c r="V2" s="156"/>
    </row>
    <row r="3" spans="1:22" ht="15.75" customHeight="1" thickTop="1">
      <c r="A3" s="317" t="s">
        <v>0</v>
      </c>
      <c r="B3" s="304" t="s">
        <v>186</v>
      </c>
      <c r="C3" s="291"/>
      <c r="D3" s="291"/>
      <c r="E3" s="291"/>
      <c r="F3" s="291"/>
      <c r="G3" s="291"/>
      <c r="H3" s="292"/>
      <c r="J3" s="285"/>
      <c r="K3" s="277"/>
      <c r="L3" s="278"/>
      <c r="M3" s="278"/>
      <c r="N3" s="278"/>
      <c r="O3" s="278"/>
      <c r="P3" s="278"/>
      <c r="Q3" s="278"/>
      <c r="R3" s="278"/>
      <c r="S3" s="287"/>
      <c r="T3" s="156"/>
      <c r="U3" s="156"/>
      <c r="V3" s="156"/>
    </row>
    <row r="4" spans="1:22" ht="18.75" customHeight="1">
      <c r="A4" s="285"/>
      <c r="B4" s="305"/>
      <c r="C4" s="293"/>
      <c r="D4" s="293"/>
      <c r="E4" s="293"/>
      <c r="F4" s="293"/>
      <c r="G4" s="293"/>
      <c r="H4" s="294"/>
      <c r="J4" s="285"/>
      <c r="K4" s="277" t="s">
        <v>117</v>
      </c>
      <c r="L4" s="278"/>
      <c r="M4" s="283" t="s">
        <v>118</v>
      </c>
      <c r="N4" s="283"/>
      <c r="O4" s="283"/>
      <c r="P4" s="283"/>
      <c r="Q4" s="283"/>
      <c r="R4" s="283"/>
      <c r="S4" s="284"/>
      <c r="T4" s="156"/>
      <c r="U4" s="156"/>
      <c r="V4" s="156"/>
    </row>
    <row r="5" spans="1:22" ht="15.75" customHeight="1">
      <c r="A5" s="285"/>
      <c r="B5" s="305"/>
      <c r="C5" s="293"/>
      <c r="D5" s="293"/>
      <c r="E5" s="293"/>
      <c r="F5" s="293"/>
      <c r="G5" s="293"/>
      <c r="H5" s="294"/>
      <c r="J5" s="285"/>
      <c r="K5" s="277" t="s">
        <v>122</v>
      </c>
      <c r="L5" s="278"/>
      <c r="M5" s="283" t="s">
        <v>119</v>
      </c>
      <c r="N5" s="283"/>
      <c r="O5" s="283"/>
      <c r="P5" s="283"/>
      <c r="Q5" s="283"/>
      <c r="R5" s="283"/>
      <c r="S5" s="284"/>
      <c r="T5" s="156"/>
      <c r="U5" s="156"/>
      <c r="V5" s="156"/>
    </row>
    <row r="6" spans="1:22" ht="16.5" customHeight="1" thickBot="1">
      <c r="A6" s="286"/>
      <c r="B6" s="306"/>
      <c r="C6" s="295"/>
      <c r="D6" s="295"/>
      <c r="E6" s="295"/>
      <c r="F6" s="295"/>
      <c r="G6" s="295"/>
      <c r="H6" s="296"/>
      <c r="J6" s="285"/>
      <c r="K6" s="277" t="s">
        <v>123</v>
      </c>
      <c r="L6" s="278"/>
      <c r="M6" s="283" t="s">
        <v>120</v>
      </c>
      <c r="N6" s="283"/>
      <c r="O6" s="283"/>
      <c r="P6" s="283"/>
      <c r="Q6" s="283"/>
      <c r="R6" s="283"/>
      <c r="S6" s="284"/>
      <c r="T6" s="156"/>
      <c r="U6" s="156"/>
      <c r="V6" s="156"/>
    </row>
    <row r="7" spans="1:22" ht="15.75" customHeight="1" thickTop="1">
      <c r="A7" s="312" t="s">
        <v>2</v>
      </c>
      <c r="B7" s="304" t="s">
        <v>91</v>
      </c>
      <c r="C7" s="291"/>
      <c r="D7" s="291"/>
      <c r="E7" s="291"/>
      <c r="F7" s="291"/>
      <c r="G7" s="291"/>
      <c r="H7" s="292"/>
      <c r="J7" s="285"/>
      <c r="K7" s="277" t="s">
        <v>124</v>
      </c>
      <c r="L7" s="278"/>
      <c r="M7" s="283" t="s">
        <v>121</v>
      </c>
      <c r="N7" s="283"/>
      <c r="O7" s="283"/>
      <c r="P7" s="283"/>
      <c r="Q7" s="283"/>
      <c r="R7" s="283"/>
      <c r="S7" s="283"/>
      <c r="T7" s="160"/>
      <c r="U7" s="161"/>
      <c r="V7" s="156"/>
    </row>
    <row r="8" spans="1:22" ht="19.5" customHeight="1" thickBot="1">
      <c r="A8" s="314"/>
      <c r="B8" s="306"/>
      <c r="C8" s="295"/>
      <c r="D8" s="295"/>
      <c r="E8" s="295"/>
      <c r="F8" s="295"/>
      <c r="G8" s="295"/>
      <c r="H8" s="296"/>
      <c r="J8" s="285"/>
      <c r="K8" s="277" t="s">
        <v>125</v>
      </c>
      <c r="L8" s="278"/>
      <c r="M8" s="283" t="s">
        <v>131</v>
      </c>
      <c r="N8" s="283"/>
      <c r="O8" s="283"/>
      <c r="P8" s="283"/>
      <c r="Q8" s="283"/>
      <c r="R8" s="283"/>
      <c r="S8" s="283"/>
      <c r="T8" s="283"/>
      <c r="U8" s="284"/>
      <c r="V8" s="156"/>
    </row>
    <row r="9" spans="1:22" ht="20.25" customHeight="1" thickTop="1">
      <c r="A9" s="315" t="s">
        <v>4</v>
      </c>
      <c r="B9" s="305" t="s">
        <v>90</v>
      </c>
      <c r="C9" s="293"/>
      <c r="D9" s="293"/>
      <c r="E9" s="293"/>
      <c r="F9" s="293"/>
      <c r="G9" s="293"/>
      <c r="H9" s="294"/>
      <c r="J9" s="285"/>
      <c r="K9" s="277"/>
      <c r="L9" s="278"/>
      <c r="M9" s="283"/>
      <c r="N9" s="283"/>
      <c r="O9" s="283"/>
      <c r="P9" s="283"/>
      <c r="Q9" s="283"/>
      <c r="R9" s="283"/>
      <c r="S9" s="283"/>
      <c r="T9" s="283"/>
      <c r="U9" s="284"/>
      <c r="V9" s="156"/>
    </row>
    <row r="10" spans="1:22" ht="16.5" customHeight="1" thickBot="1">
      <c r="A10" s="316"/>
      <c r="B10" s="305"/>
      <c r="C10" s="293"/>
      <c r="D10" s="293"/>
      <c r="E10" s="293"/>
      <c r="F10" s="293"/>
      <c r="G10" s="293"/>
      <c r="H10" s="294"/>
      <c r="J10" s="285"/>
      <c r="K10" s="277" t="s">
        <v>126</v>
      </c>
      <c r="L10" s="278"/>
      <c r="M10" s="283" t="s">
        <v>130</v>
      </c>
      <c r="N10" s="283"/>
      <c r="O10" s="283"/>
      <c r="P10" s="283"/>
      <c r="Q10" s="283"/>
      <c r="R10" s="283"/>
      <c r="S10" s="283"/>
      <c r="T10" s="283"/>
      <c r="U10" s="284"/>
      <c r="V10" s="156"/>
    </row>
    <row r="11" spans="1:22" ht="21" customHeight="1" thickTop="1">
      <c r="A11" s="312" t="s">
        <v>66</v>
      </c>
      <c r="B11" s="304" t="s">
        <v>188</v>
      </c>
      <c r="C11" s="291"/>
      <c r="D11" s="291"/>
      <c r="E11" s="291"/>
      <c r="F11" s="291"/>
      <c r="G11" s="291"/>
      <c r="H11" s="292"/>
      <c r="J11" s="285"/>
      <c r="K11" s="277"/>
      <c r="L11" s="278"/>
      <c r="M11" s="283"/>
      <c r="N11" s="283"/>
      <c r="O11" s="283"/>
      <c r="P11" s="283"/>
      <c r="Q11" s="283"/>
      <c r="R11" s="283"/>
      <c r="S11" s="283"/>
      <c r="T11" s="283"/>
      <c r="U11" s="284"/>
      <c r="V11" s="156"/>
    </row>
    <row r="12" spans="1:22" ht="19.5" customHeight="1" thickBot="1">
      <c r="A12" s="313"/>
      <c r="B12" s="306"/>
      <c r="C12" s="295"/>
      <c r="D12" s="295"/>
      <c r="E12" s="295"/>
      <c r="F12" s="295"/>
      <c r="G12" s="295"/>
      <c r="H12" s="296"/>
      <c r="J12" s="285"/>
      <c r="K12" s="277" t="s">
        <v>127</v>
      </c>
      <c r="L12" s="278"/>
      <c r="M12" s="283" t="s">
        <v>129</v>
      </c>
      <c r="N12" s="283"/>
      <c r="O12" s="283"/>
      <c r="P12" s="283"/>
      <c r="Q12" s="283"/>
      <c r="R12" s="283"/>
      <c r="S12" s="283"/>
      <c r="T12" s="283"/>
      <c r="U12" s="284"/>
      <c r="V12" s="156"/>
    </row>
    <row r="13" spans="1:22" ht="16.5" customHeight="1" thickTop="1">
      <c r="A13" s="313"/>
      <c r="B13" s="143" t="s">
        <v>189</v>
      </c>
      <c r="C13" s="143" t="s">
        <v>69</v>
      </c>
      <c r="D13" s="303" t="s">
        <v>92</v>
      </c>
      <c r="E13" s="303"/>
      <c r="F13" s="303"/>
      <c r="G13" s="303"/>
      <c r="H13" s="139"/>
      <c r="J13" s="285"/>
      <c r="K13" s="277"/>
      <c r="L13" s="278"/>
      <c r="M13" s="283"/>
      <c r="N13" s="283"/>
      <c r="O13" s="283"/>
      <c r="P13" s="283"/>
      <c r="Q13" s="283"/>
      <c r="R13" s="283"/>
      <c r="S13" s="283"/>
      <c r="T13" s="283"/>
      <c r="U13" s="284"/>
      <c r="V13" s="156"/>
    </row>
    <row r="14" spans="1:22" ht="20.25" customHeight="1">
      <c r="A14" s="313"/>
      <c r="B14" s="143" t="s">
        <v>190</v>
      </c>
      <c r="C14" s="143" t="s">
        <v>67</v>
      </c>
      <c r="D14" s="303" t="s">
        <v>93</v>
      </c>
      <c r="E14" s="303"/>
      <c r="F14" s="303"/>
      <c r="G14" s="303"/>
      <c r="H14" s="139"/>
      <c r="J14" s="285"/>
      <c r="K14" s="277" t="s">
        <v>128</v>
      </c>
      <c r="L14" s="278"/>
      <c r="M14" s="283" t="s">
        <v>134</v>
      </c>
      <c r="N14" s="283"/>
      <c r="O14" s="283"/>
      <c r="P14" s="283"/>
      <c r="Q14" s="283"/>
      <c r="R14" s="283"/>
      <c r="S14" s="283"/>
      <c r="T14" s="283"/>
      <c r="U14" s="284"/>
      <c r="V14" s="156"/>
    </row>
    <row r="15" spans="1:22" ht="20.25" customHeight="1">
      <c r="A15" s="313"/>
      <c r="B15" s="143" t="s">
        <v>191</v>
      </c>
      <c r="C15" s="143" t="s">
        <v>70</v>
      </c>
      <c r="D15" s="303" t="s">
        <v>94</v>
      </c>
      <c r="E15" s="303"/>
      <c r="F15" s="303"/>
      <c r="G15" s="303"/>
      <c r="H15" s="139"/>
      <c r="J15" s="285"/>
      <c r="K15" s="277"/>
      <c r="L15" s="278"/>
      <c r="M15" s="283"/>
      <c r="N15" s="283"/>
      <c r="O15" s="283"/>
      <c r="P15" s="283"/>
      <c r="Q15" s="283"/>
      <c r="R15" s="283"/>
      <c r="S15" s="283"/>
      <c r="T15" s="283"/>
      <c r="U15" s="284"/>
      <c r="V15" s="156"/>
    </row>
    <row r="16" spans="1:22" ht="20.25" customHeight="1">
      <c r="A16" s="313"/>
      <c r="B16" s="143" t="s">
        <v>192</v>
      </c>
      <c r="C16" s="143" t="s">
        <v>71</v>
      </c>
      <c r="D16" s="303" t="s">
        <v>95</v>
      </c>
      <c r="E16" s="303"/>
      <c r="F16" s="303"/>
      <c r="G16" s="303"/>
      <c r="H16" s="139"/>
      <c r="J16" s="285"/>
      <c r="K16" s="277" t="s">
        <v>132</v>
      </c>
      <c r="L16" s="278"/>
      <c r="M16" s="283" t="s">
        <v>133</v>
      </c>
      <c r="N16" s="283"/>
      <c r="O16" s="283"/>
      <c r="P16" s="283"/>
      <c r="Q16" s="283"/>
      <c r="R16" s="283"/>
      <c r="S16" s="283"/>
      <c r="T16" s="283"/>
      <c r="U16" s="284"/>
      <c r="V16" s="156"/>
    </row>
    <row r="17" spans="1:22" ht="19.5" customHeight="1">
      <c r="A17" s="313"/>
      <c r="B17" s="297" t="s">
        <v>96</v>
      </c>
      <c r="C17" s="299" t="s">
        <v>187</v>
      </c>
      <c r="D17" s="299"/>
      <c r="E17" s="299"/>
      <c r="F17" s="299"/>
      <c r="G17" s="299"/>
      <c r="H17" s="300"/>
      <c r="J17" s="285"/>
      <c r="K17" s="277"/>
      <c r="L17" s="278"/>
      <c r="M17" s="283"/>
      <c r="N17" s="283"/>
      <c r="O17" s="283"/>
      <c r="P17" s="283"/>
      <c r="Q17" s="283"/>
      <c r="R17" s="283"/>
      <c r="S17" s="283"/>
      <c r="T17" s="283"/>
      <c r="U17" s="284"/>
      <c r="V17" s="156"/>
    </row>
    <row r="18" spans="1:22" ht="20.25" customHeight="1" thickBot="1">
      <c r="A18" s="314"/>
      <c r="B18" s="298"/>
      <c r="C18" s="301"/>
      <c r="D18" s="301"/>
      <c r="E18" s="301"/>
      <c r="F18" s="301"/>
      <c r="G18" s="301"/>
      <c r="H18" s="302"/>
      <c r="J18" s="285"/>
      <c r="K18" s="277" t="s">
        <v>135</v>
      </c>
      <c r="L18" s="278"/>
      <c r="M18" s="283" t="s">
        <v>140</v>
      </c>
      <c r="N18" s="283"/>
      <c r="O18" s="283"/>
      <c r="P18" s="283"/>
      <c r="Q18" s="283"/>
      <c r="R18" s="283"/>
      <c r="S18" s="283"/>
      <c r="T18" s="283"/>
      <c r="U18" s="284"/>
      <c r="V18" s="156"/>
    </row>
    <row r="19" spans="1:22" ht="22.5" customHeight="1" thickTop="1">
      <c r="A19" s="312" t="s">
        <v>8</v>
      </c>
      <c r="B19" s="291" t="s">
        <v>193</v>
      </c>
      <c r="C19" s="291"/>
      <c r="D19" s="291"/>
      <c r="E19" s="291"/>
      <c r="F19" s="291"/>
      <c r="G19" s="291"/>
      <c r="H19" s="292"/>
      <c r="J19" s="285"/>
      <c r="K19" s="277"/>
      <c r="L19" s="278"/>
      <c r="M19" s="283"/>
      <c r="N19" s="283"/>
      <c r="O19" s="283"/>
      <c r="P19" s="283"/>
      <c r="Q19" s="283"/>
      <c r="R19" s="283"/>
      <c r="S19" s="283"/>
      <c r="T19" s="283"/>
      <c r="U19" s="284"/>
      <c r="V19" s="156"/>
    </row>
    <row r="20" spans="1:22" ht="20.25" customHeight="1">
      <c r="A20" s="313"/>
      <c r="B20" s="293"/>
      <c r="C20" s="293"/>
      <c r="D20" s="293"/>
      <c r="E20" s="293"/>
      <c r="F20" s="293"/>
      <c r="G20" s="293"/>
      <c r="H20" s="294"/>
      <c r="J20" s="285"/>
      <c r="K20" s="277" t="s">
        <v>136</v>
      </c>
      <c r="L20" s="278"/>
      <c r="M20" s="283" t="s">
        <v>141</v>
      </c>
      <c r="N20" s="283"/>
      <c r="O20" s="283"/>
      <c r="P20" s="283"/>
      <c r="Q20" s="283"/>
      <c r="R20" s="283"/>
      <c r="S20" s="283"/>
      <c r="T20" s="283"/>
      <c r="U20" s="284"/>
      <c r="V20" s="156"/>
    </row>
    <row r="21" spans="1:22" ht="22.5" customHeight="1">
      <c r="A21" s="313"/>
      <c r="B21" s="326" t="s">
        <v>79</v>
      </c>
      <c r="C21" s="323" t="s">
        <v>85</v>
      </c>
      <c r="D21" s="323" t="s">
        <v>76</v>
      </c>
      <c r="E21" s="323" t="s">
        <v>84</v>
      </c>
      <c r="F21" s="323" t="s">
        <v>86</v>
      </c>
      <c r="G21" s="323" t="s">
        <v>77</v>
      </c>
      <c r="H21" s="320" t="s">
        <v>78</v>
      </c>
      <c r="J21" s="285"/>
      <c r="K21" s="277"/>
      <c r="L21" s="278"/>
      <c r="M21" s="283"/>
      <c r="N21" s="283"/>
      <c r="O21" s="283"/>
      <c r="P21" s="283"/>
      <c r="Q21" s="283"/>
      <c r="R21" s="283"/>
      <c r="S21" s="283"/>
      <c r="T21" s="283"/>
      <c r="U21" s="284"/>
      <c r="V21" s="156"/>
    </row>
    <row r="22" spans="1:22" ht="21" customHeight="1">
      <c r="A22" s="313"/>
      <c r="B22" s="327"/>
      <c r="C22" s="324"/>
      <c r="D22" s="324"/>
      <c r="E22" s="324"/>
      <c r="F22" s="324"/>
      <c r="G22" s="324"/>
      <c r="H22" s="321"/>
      <c r="J22" s="285"/>
      <c r="K22" s="277" t="s">
        <v>137</v>
      </c>
      <c r="L22" s="278"/>
      <c r="M22" s="283" t="s">
        <v>142</v>
      </c>
      <c r="N22" s="283"/>
      <c r="O22" s="283"/>
      <c r="P22" s="283"/>
      <c r="Q22" s="283"/>
      <c r="R22" s="283"/>
      <c r="S22" s="283"/>
      <c r="T22" s="283"/>
      <c r="U22" s="284"/>
      <c r="V22" s="156"/>
    </row>
    <row r="23" spans="1:22" ht="18" customHeight="1">
      <c r="A23" s="313"/>
      <c r="B23" s="328"/>
      <c r="C23" s="325"/>
      <c r="D23" s="325"/>
      <c r="E23" s="325"/>
      <c r="F23" s="325"/>
      <c r="G23" s="325"/>
      <c r="H23" s="322"/>
      <c r="J23" s="285"/>
      <c r="K23" s="277"/>
      <c r="L23" s="278"/>
      <c r="M23" s="283"/>
      <c r="N23" s="283"/>
      <c r="O23" s="283"/>
      <c r="P23" s="283"/>
      <c r="Q23" s="283"/>
      <c r="R23" s="283"/>
      <c r="S23" s="283"/>
      <c r="T23" s="283"/>
      <c r="U23" s="284"/>
      <c r="V23" s="156"/>
    </row>
    <row r="24" spans="1:22" ht="21.75" customHeight="1">
      <c r="A24" s="313"/>
      <c r="B24" s="141" t="s">
        <v>80</v>
      </c>
      <c r="C24" s="29">
        <v>1</v>
      </c>
      <c r="D24" s="146">
        <v>1</v>
      </c>
      <c r="E24" s="30">
        <v>1</v>
      </c>
      <c r="F24" s="31">
        <v>1</v>
      </c>
      <c r="G24" s="32">
        <v>1</v>
      </c>
      <c r="H24" s="144">
        <v>1</v>
      </c>
      <c r="J24" s="285"/>
      <c r="K24" s="277" t="s">
        <v>138</v>
      </c>
      <c r="L24" s="278"/>
      <c r="M24" s="283" t="s">
        <v>144</v>
      </c>
      <c r="N24" s="283"/>
      <c r="O24" s="283"/>
      <c r="P24" s="283"/>
      <c r="Q24" s="283"/>
      <c r="R24" s="283"/>
      <c r="S24" s="283"/>
      <c r="T24" s="283"/>
      <c r="U24" s="284"/>
      <c r="V24" s="156"/>
    </row>
    <row r="25" spans="1:22" ht="15.75" customHeight="1">
      <c r="A25" s="313"/>
      <c r="B25" s="142" t="s">
        <v>83</v>
      </c>
      <c r="C25" s="33">
        <v>1.1299999999999999</v>
      </c>
      <c r="D25" s="146">
        <v>1.1000000000000001</v>
      </c>
      <c r="E25" s="34">
        <v>1.1599999999999999</v>
      </c>
      <c r="F25" s="35">
        <v>1.1200000000000001</v>
      </c>
      <c r="G25" s="32">
        <v>1.1200000000000001</v>
      </c>
      <c r="H25" s="145">
        <v>1.18</v>
      </c>
      <c r="J25" s="285"/>
      <c r="K25" s="277"/>
      <c r="L25" s="278"/>
      <c r="M25" s="283"/>
      <c r="N25" s="283"/>
      <c r="O25" s="283"/>
      <c r="P25" s="283"/>
      <c r="Q25" s="283"/>
      <c r="R25" s="283"/>
      <c r="S25" s="283"/>
      <c r="T25" s="283"/>
      <c r="U25" s="284"/>
      <c r="V25" s="156"/>
    </row>
    <row r="26" spans="1:22" ht="15.75" customHeight="1">
      <c r="A26" s="313"/>
      <c r="B26" s="142" t="s">
        <v>81</v>
      </c>
      <c r="C26" s="33">
        <v>1.26</v>
      </c>
      <c r="D26" s="35">
        <v>1.25</v>
      </c>
      <c r="E26" s="34">
        <v>1.31</v>
      </c>
      <c r="F26" s="35">
        <v>1.27</v>
      </c>
      <c r="G26" s="32">
        <v>1.24</v>
      </c>
      <c r="H26" s="145">
        <v>1.35</v>
      </c>
      <c r="J26" s="285"/>
      <c r="K26" s="277" t="s">
        <v>139</v>
      </c>
      <c r="L26" s="278"/>
      <c r="M26" s="283" t="s">
        <v>143</v>
      </c>
      <c r="N26" s="283"/>
      <c r="O26" s="283"/>
      <c r="P26" s="283"/>
      <c r="Q26" s="283"/>
      <c r="R26" s="283"/>
      <c r="S26" s="283"/>
      <c r="T26" s="283"/>
      <c r="U26" s="284"/>
      <c r="V26" s="156"/>
    </row>
    <row r="27" spans="1:22" ht="19.5" customHeight="1" thickBot="1">
      <c r="A27" s="313"/>
      <c r="B27" s="147" t="s">
        <v>82</v>
      </c>
      <c r="C27" s="148">
        <v>1.42</v>
      </c>
      <c r="D27" s="149">
        <v>1.48</v>
      </c>
      <c r="E27" s="150">
        <v>1.56</v>
      </c>
      <c r="F27" s="149">
        <v>1.45</v>
      </c>
      <c r="G27" s="151">
        <v>1.45</v>
      </c>
      <c r="H27" s="152">
        <v>1.6</v>
      </c>
      <c r="J27" s="285"/>
      <c r="K27" s="277"/>
      <c r="L27" s="278"/>
      <c r="M27" s="283"/>
      <c r="N27" s="283"/>
      <c r="O27" s="283"/>
      <c r="P27" s="283"/>
      <c r="Q27" s="283"/>
      <c r="R27" s="283"/>
      <c r="S27" s="283"/>
      <c r="T27" s="283"/>
      <c r="U27" s="284"/>
      <c r="V27" s="156"/>
    </row>
    <row r="28" spans="1:22" ht="22.5" customHeight="1" thickTop="1">
      <c r="A28" s="313"/>
      <c r="B28" s="297" t="s">
        <v>96</v>
      </c>
      <c r="C28" s="299" t="s">
        <v>194</v>
      </c>
      <c r="D28" s="299"/>
      <c r="E28" s="299"/>
      <c r="F28" s="299"/>
      <c r="G28" s="299"/>
      <c r="H28" s="300"/>
      <c r="J28" s="285"/>
      <c r="K28" s="277" t="s">
        <v>145</v>
      </c>
      <c r="L28" s="278"/>
      <c r="M28" s="283" t="s">
        <v>141</v>
      </c>
      <c r="N28" s="283"/>
      <c r="O28" s="283"/>
      <c r="P28" s="283"/>
      <c r="Q28" s="283"/>
      <c r="R28" s="283"/>
      <c r="S28" s="283"/>
      <c r="T28" s="283"/>
      <c r="U28" s="284"/>
      <c r="V28" s="156"/>
    </row>
    <row r="29" spans="1:22" ht="21" customHeight="1" thickBot="1">
      <c r="A29" s="314"/>
      <c r="B29" s="298"/>
      <c r="C29" s="301"/>
      <c r="D29" s="301"/>
      <c r="E29" s="301"/>
      <c r="F29" s="301"/>
      <c r="G29" s="301"/>
      <c r="H29" s="302"/>
      <c r="J29" s="285"/>
      <c r="K29" s="277"/>
      <c r="L29" s="278"/>
      <c r="M29" s="283"/>
      <c r="N29" s="283"/>
      <c r="O29" s="283"/>
      <c r="P29" s="283"/>
      <c r="Q29" s="283"/>
      <c r="R29" s="283"/>
      <c r="S29" s="283"/>
      <c r="T29" s="283"/>
      <c r="U29" s="284"/>
      <c r="V29" s="156"/>
    </row>
    <row r="30" spans="1:22" ht="20.25" customHeight="1" thickTop="1">
      <c r="A30" s="315" t="s">
        <v>74</v>
      </c>
      <c r="B30" s="304" t="s">
        <v>97</v>
      </c>
      <c r="C30" s="291"/>
      <c r="D30" s="291"/>
      <c r="E30" s="291"/>
      <c r="F30" s="291"/>
      <c r="G30" s="291"/>
      <c r="H30" s="291"/>
      <c r="I30" s="153"/>
      <c r="J30" s="285"/>
      <c r="K30" s="277" t="s">
        <v>146</v>
      </c>
      <c r="L30" s="278"/>
      <c r="M30" s="283" t="s">
        <v>149</v>
      </c>
      <c r="N30" s="283"/>
      <c r="O30" s="283"/>
      <c r="P30" s="283"/>
      <c r="Q30" s="283"/>
      <c r="R30" s="283"/>
      <c r="S30" s="283"/>
      <c r="T30" s="283"/>
      <c r="U30" s="284"/>
      <c r="V30" s="156"/>
    </row>
    <row r="31" spans="1:22" ht="21.75" customHeight="1" thickBot="1">
      <c r="A31" s="329"/>
      <c r="B31" s="305"/>
      <c r="C31" s="293"/>
      <c r="D31" s="293"/>
      <c r="E31" s="293"/>
      <c r="F31" s="293"/>
      <c r="G31" s="293"/>
      <c r="H31" s="293"/>
      <c r="I31" s="153"/>
      <c r="J31" s="285"/>
      <c r="K31" s="277"/>
      <c r="L31" s="278"/>
      <c r="M31" s="283"/>
      <c r="N31" s="283"/>
      <c r="O31" s="283"/>
      <c r="P31" s="283"/>
      <c r="Q31" s="283"/>
      <c r="R31" s="283"/>
      <c r="S31" s="283"/>
      <c r="T31" s="283"/>
      <c r="U31" s="284"/>
      <c r="V31" s="156"/>
    </row>
    <row r="32" spans="1:22" ht="21.75" customHeight="1" thickTop="1">
      <c r="A32" s="312" t="s">
        <v>75</v>
      </c>
      <c r="B32" s="304" t="s">
        <v>98</v>
      </c>
      <c r="C32" s="291"/>
      <c r="D32" s="291"/>
      <c r="E32" s="291"/>
      <c r="F32" s="291"/>
      <c r="G32" s="291"/>
      <c r="H32" s="292"/>
      <c r="J32" s="285"/>
      <c r="K32" s="277" t="s">
        <v>147</v>
      </c>
      <c r="L32" s="278"/>
      <c r="M32" s="283" t="s">
        <v>158</v>
      </c>
      <c r="N32" s="283"/>
      <c r="O32" s="283"/>
      <c r="P32" s="283"/>
      <c r="Q32" s="283"/>
      <c r="R32" s="283"/>
      <c r="S32" s="283"/>
      <c r="T32" s="283"/>
      <c r="U32" s="284"/>
      <c r="V32" s="156"/>
    </row>
    <row r="33" spans="1:22" ht="19.5" customHeight="1" thickBot="1">
      <c r="A33" s="314"/>
      <c r="B33" s="306"/>
      <c r="C33" s="295"/>
      <c r="D33" s="295"/>
      <c r="E33" s="295"/>
      <c r="F33" s="295"/>
      <c r="G33" s="295"/>
      <c r="H33" s="296"/>
      <c r="J33" s="285"/>
      <c r="K33" s="277"/>
      <c r="L33" s="278"/>
      <c r="M33" s="283"/>
      <c r="N33" s="283"/>
      <c r="O33" s="283"/>
      <c r="P33" s="283"/>
      <c r="Q33" s="283"/>
      <c r="R33" s="283"/>
      <c r="S33" s="283"/>
      <c r="T33" s="283"/>
      <c r="U33" s="284"/>
      <c r="V33" s="156"/>
    </row>
    <row r="34" spans="1:22" ht="21.75" customHeight="1" thickTop="1">
      <c r="A34" s="329" t="s">
        <v>72</v>
      </c>
      <c r="B34" s="304" t="s">
        <v>195</v>
      </c>
      <c r="C34" s="291"/>
      <c r="D34" s="291"/>
      <c r="E34" s="291"/>
      <c r="F34" s="291"/>
      <c r="G34" s="291"/>
      <c r="H34" s="292"/>
      <c r="I34" s="153"/>
      <c r="J34" s="285"/>
      <c r="K34" s="277" t="s">
        <v>148</v>
      </c>
      <c r="L34" s="278"/>
      <c r="M34" s="283" t="s">
        <v>157</v>
      </c>
      <c r="N34" s="283"/>
      <c r="O34" s="283"/>
      <c r="P34" s="283"/>
      <c r="Q34" s="283"/>
      <c r="R34" s="283"/>
      <c r="S34" s="283"/>
      <c r="T34" s="283"/>
      <c r="U34" s="284"/>
      <c r="V34" s="156"/>
    </row>
    <row r="35" spans="1:22" ht="18.75" customHeight="1" thickBot="1">
      <c r="A35" s="316"/>
      <c r="B35" s="306"/>
      <c r="C35" s="295"/>
      <c r="D35" s="295"/>
      <c r="E35" s="295"/>
      <c r="F35" s="295"/>
      <c r="G35" s="295"/>
      <c r="H35" s="296"/>
      <c r="I35" s="153"/>
      <c r="J35" s="285"/>
      <c r="K35" s="277"/>
      <c r="L35" s="278"/>
      <c r="M35" s="283"/>
      <c r="N35" s="283"/>
      <c r="O35" s="283"/>
      <c r="P35" s="283"/>
      <c r="Q35" s="283"/>
      <c r="R35" s="283"/>
      <c r="S35" s="283"/>
      <c r="T35" s="283"/>
      <c r="U35" s="284"/>
      <c r="V35" s="156"/>
    </row>
    <row r="36" spans="1:22" ht="21" customHeight="1" thickTop="1">
      <c r="A36" s="307" t="s">
        <v>12</v>
      </c>
      <c r="B36" s="291" t="s">
        <v>196</v>
      </c>
      <c r="C36" s="291"/>
      <c r="D36" s="291"/>
      <c r="E36" s="291"/>
      <c r="F36" s="291"/>
      <c r="G36" s="291"/>
      <c r="H36" s="292"/>
      <c r="J36" s="285"/>
      <c r="K36" s="277" t="s">
        <v>151</v>
      </c>
      <c r="L36" s="278"/>
      <c r="M36" s="283" t="s">
        <v>155</v>
      </c>
      <c r="N36" s="283"/>
      <c r="O36" s="283"/>
      <c r="P36" s="283"/>
      <c r="Q36" s="283"/>
      <c r="R36" s="283"/>
      <c r="S36" s="283"/>
      <c r="T36" s="283"/>
      <c r="U36" s="284"/>
      <c r="V36" s="156"/>
    </row>
    <row r="37" spans="1:22" ht="18" customHeight="1">
      <c r="A37" s="308"/>
      <c r="B37" s="293"/>
      <c r="C37" s="293"/>
      <c r="D37" s="293"/>
      <c r="E37" s="293"/>
      <c r="F37" s="293"/>
      <c r="G37" s="293"/>
      <c r="H37" s="294"/>
      <c r="J37" s="285"/>
      <c r="K37" s="277"/>
      <c r="L37" s="278"/>
      <c r="M37" s="283"/>
      <c r="N37" s="283"/>
      <c r="O37" s="283"/>
      <c r="P37" s="283"/>
      <c r="Q37" s="283"/>
      <c r="R37" s="283"/>
      <c r="S37" s="283"/>
      <c r="T37" s="283"/>
      <c r="U37" s="284"/>
      <c r="V37" s="156"/>
    </row>
    <row r="38" spans="1:22" ht="20.25" customHeight="1">
      <c r="A38" s="308"/>
      <c r="C38" s="311" t="s">
        <v>101</v>
      </c>
      <c r="D38" s="311"/>
      <c r="E38" s="155">
        <v>2.2000000000000002</v>
      </c>
      <c r="F38" s="154" t="s">
        <v>108</v>
      </c>
      <c r="G38" s="155">
        <v>0.85</v>
      </c>
      <c r="H38" s="139"/>
      <c r="J38" s="285"/>
      <c r="K38" s="277" t="s">
        <v>152</v>
      </c>
      <c r="L38" s="278"/>
      <c r="M38" s="283" t="s">
        <v>156</v>
      </c>
      <c r="N38" s="283"/>
      <c r="O38" s="283"/>
      <c r="P38" s="283"/>
      <c r="Q38" s="283"/>
      <c r="R38" s="283"/>
      <c r="S38" s="283"/>
      <c r="T38" s="283"/>
      <c r="U38" s="284"/>
      <c r="V38" s="156"/>
    </row>
    <row r="39" spans="1:22" ht="18.75" customHeight="1">
      <c r="A39" s="308"/>
      <c r="C39" s="311" t="s">
        <v>102</v>
      </c>
      <c r="D39" s="311"/>
      <c r="E39" s="155">
        <v>1.6</v>
      </c>
      <c r="F39" s="154" t="s">
        <v>109</v>
      </c>
      <c r="G39" s="155">
        <v>0.8</v>
      </c>
      <c r="H39" s="139"/>
      <c r="J39" s="285"/>
      <c r="K39" s="277"/>
      <c r="L39" s="278"/>
      <c r="M39" s="283"/>
      <c r="N39" s="283"/>
      <c r="O39" s="283"/>
      <c r="P39" s="283"/>
      <c r="Q39" s="283"/>
      <c r="R39" s="283"/>
      <c r="S39" s="283"/>
      <c r="T39" s="283"/>
      <c r="U39" s="284"/>
      <c r="V39" s="156"/>
    </row>
    <row r="40" spans="1:22" ht="23.25" customHeight="1">
      <c r="A40" s="308"/>
      <c r="C40" s="311" t="s">
        <v>103</v>
      </c>
      <c r="D40" s="311"/>
      <c r="E40" s="155">
        <v>1.1000000000000001</v>
      </c>
      <c r="F40" s="154" t="s">
        <v>110</v>
      </c>
      <c r="G40" s="155">
        <v>0.85</v>
      </c>
      <c r="H40" s="139"/>
      <c r="J40" s="285"/>
      <c r="K40" s="277" t="s">
        <v>154</v>
      </c>
      <c r="L40" s="278"/>
      <c r="M40" s="283" t="s">
        <v>143</v>
      </c>
      <c r="N40" s="283"/>
      <c r="O40" s="283"/>
      <c r="P40" s="283"/>
      <c r="Q40" s="283"/>
      <c r="R40" s="283"/>
      <c r="S40" s="283"/>
      <c r="T40" s="283"/>
      <c r="U40" s="284"/>
      <c r="V40" s="156"/>
    </row>
    <row r="41" spans="1:22" ht="17.25" customHeight="1">
      <c r="A41" s="308"/>
      <c r="C41" s="311" t="s">
        <v>104</v>
      </c>
      <c r="D41" s="311"/>
      <c r="E41" s="155">
        <v>1.1000000000000001</v>
      </c>
      <c r="F41" s="154" t="s">
        <v>111</v>
      </c>
      <c r="G41" s="155">
        <v>0.8</v>
      </c>
      <c r="H41" s="139"/>
      <c r="J41" s="285"/>
      <c r="K41" s="277"/>
      <c r="L41" s="278"/>
      <c r="M41" s="283"/>
      <c r="N41" s="283"/>
      <c r="O41" s="283"/>
      <c r="P41" s="283"/>
      <c r="Q41" s="283"/>
      <c r="R41" s="283"/>
      <c r="S41" s="283"/>
      <c r="T41" s="283"/>
      <c r="U41" s="284"/>
      <c r="V41" s="156"/>
    </row>
    <row r="42" spans="1:22" ht="19.5" customHeight="1">
      <c r="A42" s="308"/>
      <c r="C42" s="311" t="s">
        <v>105</v>
      </c>
      <c r="D42" s="311"/>
      <c r="E42" s="155">
        <v>0.95</v>
      </c>
      <c r="F42" s="154" t="s">
        <v>113</v>
      </c>
      <c r="G42" s="155" t="s">
        <v>114</v>
      </c>
      <c r="H42" s="139"/>
      <c r="J42" s="285"/>
      <c r="K42" s="277" t="s">
        <v>153</v>
      </c>
      <c r="L42" s="278"/>
      <c r="M42" s="283" t="s">
        <v>150</v>
      </c>
      <c r="N42" s="283"/>
      <c r="O42" s="283"/>
      <c r="P42" s="283"/>
      <c r="Q42" s="283"/>
      <c r="R42" s="283"/>
      <c r="S42" s="283"/>
      <c r="T42" s="283"/>
      <c r="U42" s="284"/>
      <c r="V42" s="156"/>
    </row>
    <row r="43" spans="1:22" ht="20.25" customHeight="1">
      <c r="A43" s="308"/>
      <c r="C43" s="311" t="s">
        <v>106</v>
      </c>
      <c r="D43" s="311"/>
      <c r="E43" s="155">
        <v>0.85</v>
      </c>
      <c r="F43" s="154"/>
      <c r="G43" s="155"/>
      <c r="H43" s="139"/>
      <c r="J43" s="285"/>
      <c r="K43" s="277"/>
      <c r="L43" s="278"/>
      <c r="M43" s="283"/>
      <c r="N43" s="283"/>
      <c r="O43" s="283"/>
      <c r="P43" s="283"/>
      <c r="Q43" s="283"/>
      <c r="R43" s="283"/>
      <c r="S43" s="283"/>
      <c r="T43" s="283"/>
      <c r="U43" s="284"/>
      <c r="V43" s="156"/>
    </row>
    <row r="44" spans="1:22" ht="18.75" customHeight="1">
      <c r="A44" s="308"/>
      <c r="C44" s="311" t="s">
        <v>107</v>
      </c>
      <c r="D44" s="311"/>
      <c r="E44" s="155">
        <v>0.95</v>
      </c>
      <c r="F44" s="154"/>
      <c r="G44" s="155"/>
      <c r="H44" s="139"/>
      <c r="J44" s="285"/>
      <c r="K44" s="277" t="s">
        <v>159</v>
      </c>
      <c r="L44" s="278"/>
      <c r="M44" s="283" t="s">
        <v>167</v>
      </c>
      <c r="N44" s="283"/>
      <c r="O44" s="283"/>
      <c r="P44" s="283"/>
      <c r="Q44" s="283"/>
      <c r="R44" s="283"/>
      <c r="S44" s="283"/>
      <c r="T44" s="283"/>
      <c r="U44" s="284"/>
      <c r="V44" s="156"/>
    </row>
    <row r="45" spans="1:22" ht="18" customHeight="1">
      <c r="A45" s="308"/>
      <c r="B45" s="297" t="s">
        <v>96</v>
      </c>
      <c r="C45" s="299" t="s">
        <v>112</v>
      </c>
      <c r="D45" s="299"/>
      <c r="E45" s="299"/>
      <c r="F45" s="299"/>
      <c r="G45" s="299"/>
      <c r="H45" s="300"/>
      <c r="J45" s="285"/>
      <c r="K45" s="277"/>
      <c r="L45" s="278"/>
      <c r="M45" s="283"/>
      <c r="N45" s="283"/>
      <c r="O45" s="283"/>
      <c r="P45" s="283"/>
      <c r="Q45" s="283"/>
      <c r="R45" s="283"/>
      <c r="S45" s="283"/>
      <c r="T45" s="283"/>
      <c r="U45" s="284"/>
      <c r="V45" s="156"/>
    </row>
    <row r="46" spans="1:22" ht="22.5" customHeight="1" thickBot="1">
      <c r="A46" s="308"/>
      <c r="B46" s="298"/>
      <c r="C46" s="301"/>
      <c r="D46" s="301"/>
      <c r="E46" s="301"/>
      <c r="F46" s="301"/>
      <c r="G46" s="301"/>
      <c r="H46" s="302"/>
      <c r="J46" s="285"/>
      <c r="K46" s="277" t="s">
        <v>160</v>
      </c>
      <c r="L46" s="278"/>
      <c r="M46" s="283" t="s">
        <v>168</v>
      </c>
      <c r="N46" s="283"/>
      <c r="O46" s="283"/>
      <c r="P46" s="283"/>
      <c r="Q46" s="283"/>
      <c r="R46" s="283"/>
      <c r="S46" s="283"/>
      <c r="T46" s="283"/>
      <c r="U46" s="284"/>
      <c r="V46" s="156"/>
    </row>
    <row r="47" spans="1:22" ht="21.75" customHeight="1" thickTop="1">
      <c r="A47" s="309" t="s">
        <v>14</v>
      </c>
      <c r="B47" s="304" t="s">
        <v>197</v>
      </c>
      <c r="C47" s="291"/>
      <c r="D47" s="291"/>
      <c r="E47" s="291"/>
      <c r="F47" s="291"/>
      <c r="G47" s="291"/>
      <c r="H47" s="292"/>
      <c r="J47" s="285"/>
      <c r="K47" s="277"/>
      <c r="L47" s="278"/>
      <c r="M47" s="283"/>
      <c r="N47" s="283"/>
      <c r="O47" s="283"/>
      <c r="P47" s="283"/>
      <c r="Q47" s="283"/>
      <c r="R47" s="283"/>
      <c r="S47" s="283"/>
      <c r="T47" s="283"/>
      <c r="U47" s="284"/>
      <c r="V47" s="156"/>
    </row>
    <row r="48" spans="1:22" ht="21.75" customHeight="1" thickBot="1">
      <c r="A48" s="310"/>
      <c r="B48" s="306"/>
      <c r="C48" s="295"/>
      <c r="D48" s="295"/>
      <c r="E48" s="295"/>
      <c r="F48" s="295"/>
      <c r="G48" s="295"/>
      <c r="H48" s="296"/>
      <c r="J48" s="285"/>
      <c r="K48" s="277" t="s">
        <v>161</v>
      </c>
      <c r="L48" s="278"/>
      <c r="M48" s="283" t="s">
        <v>169</v>
      </c>
      <c r="N48" s="283"/>
      <c r="O48" s="283"/>
      <c r="P48" s="283"/>
      <c r="Q48" s="283"/>
      <c r="R48" s="283"/>
      <c r="S48" s="283"/>
      <c r="T48" s="283"/>
      <c r="U48" s="284"/>
      <c r="V48" s="156"/>
    </row>
    <row r="49" spans="1:22" ht="15.75" customHeight="1" thickTop="1">
      <c r="A49" s="312" t="s">
        <v>60</v>
      </c>
      <c r="B49" s="291" t="s">
        <v>198</v>
      </c>
      <c r="C49" s="291"/>
      <c r="D49" s="291"/>
      <c r="E49" s="291"/>
      <c r="F49" s="291"/>
      <c r="G49" s="291"/>
      <c r="H49" s="292"/>
      <c r="I49" s="140"/>
      <c r="J49" s="285"/>
      <c r="K49" s="277"/>
      <c r="L49" s="278"/>
      <c r="M49" s="283"/>
      <c r="N49" s="283"/>
      <c r="O49" s="283"/>
      <c r="P49" s="283"/>
      <c r="Q49" s="283"/>
      <c r="R49" s="283"/>
      <c r="S49" s="283"/>
      <c r="T49" s="283"/>
      <c r="U49" s="284"/>
      <c r="V49" s="156"/>
    </row>
    <row r="50" spans="1:22" ht="20.25" customHeight="1">
      <c r="A50" s="313"/>
      <c r="B50" s="293"/>
      <c r="C50" s="293"/>
      <c r="D50" s="293"/>
      <c r="E50" s="293"/>
      <c r="F50" s="293"/>
      <c r="G50" s="293"/>
      <c r="H50" s="294"/>
      <c r="I50" s="140"/>
      <c r="J50" s="285"/>
      <c r="K50" s="277" t="s">
        <v>162</v>
      </c>
      <c r="L50" s="278"/>
      <c r="M50" s="283" t="s">
        <v>170</v>
      </c>
      <c r="N50" s="283"/>
      <c r="O50" s="283"/>
      <c r="P50" s="283"/>
      <c r="Q50" s="283"/>
      <c r="R50" s="283"/>
      <c r="S50" s="283"/>
      <c r="T50" s="283"/>
      <c r="U50" s="284"/>
      <c r="V50" s="156"/>
    </row>
    <row r="51" spans="1:22" ht="18.75" customHeight="1">
      <c r="A51" s="313"/>
      <c r="B51" s="293"/>
      <c r="C51" s="293"/>
      <c r="D51" s="293"/>
      <c r="E51" s="293"/>
      <c r="F51" s="293"/>
      <c r="G51" s="293"/>
      <c r="H51" s="294"/>
      <c r="I51" s="140"/>
      <c r="J51" s="285"/>
      <c r="K51" s="277"/>
      <c r="L51" s="278"/>
      <c r="M51" s="283"/>
      <c r="N51" s="283"/>
      <c r="O51" s="283"/>
      <c r="P51" s="283"/>
      <c r="Q51" s="283"/>
      <c r="R51" s="283"/>
      <c r="S51" s="283"/>
      <c r="T51" s="283"/>
      <c r="U51" s="284"/>
      <c r="V51" s="156"/>
    </row>
    <row r="52" spans="1:22" ht="19.5" customHeight="1">
      <c r="A52" s="313"/>
      <c r="B52" s="293"/>
      <c r="C52" s="293"/>
      <c r="D52" s="293"/>
      <c r="E52" s="293"/>
      <c r="F52" s="293"/>
      <c r="G52" s="293"/>
      <c r="H52" s="294"/>
      <c r="I52" s="140"/>
      <c r="J52" s="285"/>
      <c r="K52" s="277" t="s">
        <v>163</v>
      </c>
      <c r="L52" s="278"/>
      <c r="M52" s="283" t="s">
        <v>171</v>
      </c>
      <c r="N52" s="283"/>
      <c r="O52" s="283"/>
      <c r="P52" s="283"/>
      <c r="Q52" s="283"/>
      <c r="R52" s="283"/>
      <c r="S52" s="283"/>
      <c r="T52" s="283"/>
      <c r="U52" s="284"/>
      <c r="V52" s="156"/>
    </row>
    <row r="53" spans="1:22" ht="18.75" customHeight="1">
      <c r="A53" s="313"/>
      <c r="B53" s="293"/>
      <c r="C53" s="293"/>
      <c r="D53" s="293"/>
      <c r="E53" s="293"/>
      <c r="F53" s="293"/>
      <c r="G53" s="293"/>
      <c r="H53" s="294"/>
      <c r="I53" s="140"/>
      <c r="J53" s="285"/>
      <c r="K53" s="277"/>
      <c r="L53" s="278"/>
      <c r="M53" s="283"/>
      <c r="N53" s="283"/>
      <c r="O53" s="283"/>
      <c r="P53" s="283"/>
      <c r="Q53" s="283"/>
      <c r="R53" s="283"/>
      <c r="S53" s="283"/>
      <c r="T53" s="283"/>
      <c r="U53" s="284"/>
      <c r="V53" s="156"/>
    </row>
    <row r="54" spans="1:22" ht="21" customHeight="1">
      <c r="A54" s="313"/>
      <c r="B54" s="293"/>
      <c r="C54" s="293"/>
      <c r="D54" s="293"/>
      <c r="E54" s="293"/>
      <c r="F54" s="293"/>
      <c r="G54" s="293"/>
      <c r="H54" s="294"/>
      <c r="I54" s="140"/>
      <c r="J54" s="285"/>
      <c r="K54" s="277" t="s">
        <v>164</v>
      </c>
      <c r="L54" s="278"/>
      <c r="M54" s="283" t="s">
        <v>172</v>
      </c>
      <c r="N54" s="283"/>
      <c r="O54" s="283"/>
      <c r="P54" s="283"/>
      <c r="Q54" s="283"/>
      <c r="R54" s="283"/>
      <c r="S54" s="283"/>
      <c r="T54" s="283"/>
      <c r="U54" s="284"/>
      <c r="V54" s="156"/>
    </row>
    <row r="55" spans="1:22" ht="18" customHeight="1">
      <c r="A55" s="313"/>
      <c r="B55" s="293"/>
      <c r="C55" s="293"/>
      <c r="D55" s="293"/>
      <c r="E55" s="293"/>
      <c r="F55" s="293"/>
      <c r="G55" s="293"/>
      <c r="H55" s="294"/>
      <c r="I55" s="140"/>
      <c r="J55" s="285"/>
      <c r="K55" s="277"/>
      <c r="L55" s="278"/>
      <c r="M55" s="283"/>
      <c r="N55" s="283"/>
      <c r="O55" s="283"/>
      <c r="P55" s="283"/>
      <c r="Q55" s="283"/>
      <c r="R55" s="283"/>
      <c r="S55" s="283"/>
      <c r="T55" s="283"/>
      <c r="U55" s="284"/>
      <c r="V55" s="156"/>
    </row>
    <row r="56" spans="1:22" ht="21" customHeight="1">
      <c r="A56" s="313"/>
      <c r="B56" s="293"/>
      <c r="C56" s="293"/>
      <c r="D56" s="293"/>
      <c r="E56" s="293"/>
      <c r="F56" s="293"/>
      <c r="G56" s="293"/>
      <c r="H56" s="294"/>
      <c r="I56" s="140"/>
      <c r="J56" s="285"/>
      <c r="K56" s="277" t="s">
        <v>165</v>
      </c>
      <c r="L56" s="278"/>
      <c r="M56" s="283" t="s">
        <v>173</v>
      </c>
      <c r="N56" s="283"/>
      <c r="O56" s="283"/>
      <c r="P56" s="283"/>
      <c r="Q56" s="283"/>
      <c r="R56" s="283"/>
      <c r="S56" s="283"/>
      <c r="T56" s="283"/>
      <c r="U56" s="284"/>
      <c r="V56" s="156"/>
    </row>
    <row r="57" spans="1:22" ht="16.5" customHeight="1">
      <c r="A57" s="313"/>
      <c r="B57" s="293"/>
      <c r="C57" s="293"/>
      <c r="D57" s="293"/>
      <c r="E57" s="293"/>
      <c r="F57" s="293"/>
      <c r="G57" s="293"/>
      <c r="H57" s="294"/>
      <c r="I57" s="140"/>
      <c r="J57" s="285"/>
      <c r="K57" s="277"/>
      <c r="L57" s="278"/>
      <c r="M57" s="283"/>
      <c r="N57" s="283"/>
      <c r="O57" s="283"/>
      <c r="P57" s="283"/>
      <c r="Q57" s="283"/>
      <c r="R57" s="283"/>
      <c r="S57" s="283"/>
      <c r="T57" s="283"/>
      <c r="U57" s="284"/>
      <c r="V57" s="156"/>
    </row>
    <row r="58" spans="1:22" ht="18.75" customHeight="1">
      <c r="A58" s="313"/>
      <c r="B58" s="293"/>
      <c r="C58" s="293"/>
      <c r="D58" s="293"/>
      <c r="E58" s="293"/>
      <c r="F58" s="293"/>
      <c r="G58" s="293"/>
      <c r="H58" s="294"/>
      <c r="I58" s="140"/>
      <c r="J58" s="285"/>
      <c r="K58" s="277" t="s">
        <v>166</v>
      </c>
      <c r="L58" s="278"/>
      <c r="M58" s="283" t="s">
        <v>174</v>
      </c>
      <c r="N58" s="283"/>
      <c r="O58" s="283"/>
      <c r="P58" s="283"/>
      <c r="Q58" s="283"/>
      <c r="R58" s="283"/>
      <c r="S58" s="283"/>
      <c r="T58" s="283"/>
      <c r="U58" s="284"/>
      <c r="V58" s="156"/>
    </row>
    <row r="59" spans="1:22" ht="23.25" customHeight="1" thickBot="1">
      <c r="A59" s="313"/>
      <c r="B59" s="293"/>
      <c r="C59" s="293"/>
      <c r="D59" s="293"/>
      <c r="E59" s="293"/>
      <c r="F59" s="293"/>
      <c r="G59" s="293"/>
      <c r="H59" s="294"/>
      <c r="I59" s="140"/>
      <c r="J59" s="286"/>
      <c r="K59" s="280"/>
      <c r="L59" s="281"/>
      <c r="M59" s="289"/>
      <c r="N59" s="289"/>
      <c r="O59" s="289"/>
      <c r="P59" s="289"/>
      <c r="Q59" s="289"/>
      <c r="R59" s="289"/>
      <c r="S59" s="289"/>
      <c r="T59" s="289"/>
      <c r="U59" s="290"/>
      <c r="V59" s="156"/>
    </row>
    <row r="60" spans="1:22" ht="21" customHeight="1" thickTop="1">
      <c r="A60" s="313"/>
      <c r="B60" s="293"/>
      <c r="C60" s="293"/>
      <c r="D60" s="293"/>
      <c r="E60" s="293"/>
      <c r="F60" s="293"/>
      <c r="G60" s="293"/>
      <c r="H60" s="294"/>
      <c r="I60" s="140"/>
      <c r="J60" s="157" t="s">
        <v>16</v>
      </c>
      <c r="K60" s="277" t="s">
        <v>175</v>
      </c>
      <c r="L60" s="278"/>
      <c r="M60" s="278"/>
      <c r="N60" s="278"/>
      <c r="O60" s="278"/>
      <c r="P60" s="278"/>
      <c r="Q60" s="278"/>
      <c r="R60" s="287"/>
      <c r="S60" s="159"/>
      <c r="T60" s="159"/>
      <c r="U60" s="159"/>
      <c r="V60" s="156"/>
    </row>
    <row r="61" spans="1:22" ht="20.25" customHeight="1" thickBot="1">
      <c r="A61" s="313"/>
      <c r="B61" s="293"/>
      <c r="C61" s="293"/>
      <c r="D61" s="293"/>
      <c r="E61" s="293"/>
      <c r="F61" s="293"/>
      <c r="G61" s="293"/>
      <c r="H61" s="294"/>
      <c r="I61" s="140"/>
      <c r="J61" s="158"/>
      <c r="K61" s="280"/>
      <c r="L61" s="281"/>
      <c r="M61" s="281"/>
      <c r="N61" s="281"/>
      <c r="O61" s="281"/>
      <c r="P61" s="281"/>
      <c r="Q61" s="281"/>
      <c r="R61" s="288"/>
      <c r="S61" s="156"/>
      <c r="T61" s="156"/>
      <c r="U61" s="156"/>
      <c r="V61" s="156"/>
    </row>
    <row r="62" spans="1:22" ht="15" customHeight="1" thickTop="1">
      <c r="A62" s="313"/>
      <c r="B62" s="293"/>
      <c r="C62" s="293"/>
      <c r="D62" s="293"/>
      <c r="E62" s="293"/>
      <c r="F62" s="293"/>
      <c r="G62" s="293"/>
      <c r="H62" s="294"/>
      <c r="I62" s="140"/>
      <c r="J62" s="140"/>
      <c r="K62" s="156"/>
      <c r="L62" s="156"/>
      <c r="M62" s="156"/>
      <c r="N62" s="156"/>
      <c r="O62" s="156"/>
      <c r="P62" s="156"/>
      <c r="Q62" s="156"/>
      <c r="R62" s="156"/>
      <c r="S62" s="156"/>
      <c r="T62" s="156"/>
      <c r="U62" s="156"/>
      <c r="V62" s="156"/>
    </row>
    <row r="63" spans="1:22" ht="15" customHeight="1">
      <c r="A63" s="313"/>
      <c r="B63" s="293"/>
      <c r="C63" s="293"/>
      <c r="D63" s="293"/>
      <c r="E63" s="293"/>
      <c r="F63" s="293"/>
      <c r="G63" s="293"/>
      <c r="H63" s="294"/>
      <c r="I63" s="140"/>
      <c r="J63" s="279" t="s">
        <v>176</v>
      </c>
      <c r="K63" s="279"/>
      <c r="L63" s="279"/>
      <c r="M63" s="279"/>
      <c r="N63" s="279"/>
      <c r="O63" s="279"/>
      <c r="P63" s="28"/>
      <c r="Q63" s="156"/>
      <c r="R63" s="156"/>
      <c r="S63" s="156"/>
      <c r="T63" s="156"/>
      <c r="U63" s="156"/>
      <c r="V63" s="156"/>
    </row>
    <row r="64" spans="1:22" ht="15" customHeight="1" thickBot="1">
      <c r="A64" s="314"/>
      <c r="B64" s="295"/>
      <c r="C64" s="295"/>
      <c r="D64" s="295"/>
      <c r="E64" s="295"/>
      <c r="F64" s="295"/>
      <c r="G64" s="295"/>
      <c r="H64" s="296"/>
      <c r="I64" s="140"/>
      <c r="J64" s="279" t="s">
        <v>99</v>
      </c>
      <c r="K64" s="279"/>
      <c r="L64" s="279"/>
      <c r="M64" s="279"/>
      <c r="N64" s="279"/>
      <c r="O64" s="279"/>
      <c r="P64" s="279"/>
      <c r="Q64" s="279"/>
      <c r="R64" s="279"/>
      <c r="S64" s="279"/>
      <c r="T64" s="156"/>
      <c r="U64" s="156"/>
      <c r="V64" s="156"/>
    </row>
    <row r="65" spans="2:9" ht="15" thickTop="1">
      <c r="H65" s="28"/>
      <c r="I65" s="28"/>
    </row>
    <row r="70" spans="2:9" ht="15" customHeight="1">
      <c r="B70" s="282" t="s">
        <v>178</v>
      </c>
      <c r="C70" s="282"/>
      <c r="D70" s="282"/>
      <c r="E70" s="282"/>
      <c r="F70" s="282"/>
      <c r="G70" s="282"/>
      <c r="H70" s="282"/>
    </row>
    <row r="71" spans="2:9">
      <c r="B71" s="282"/>
      <c r="C71" s="282"/>
      <c r="D71" s="282"/>
      <c r="E71" s="282"/>
      <c r="F71" s="282"/>
      <c r="G71" s="282"/>
      <c r="H71" s="282"/>
    </row>
    <row r="72" spans="2:9">
      <c r="B72" s="282"/>
      <c r="C72" s="282"/>
      <c r="D72" s="282"/>
      <c r="E72" s="282"/>
      <c r="F72" s="282"/>
      <c r="G72" s="282"/>
      <c r="H72" s="282"/>
    </row>
    <row r="73" spans="2:9">
      <c r="B73" s="282"/>
      <c r="C73" s="282"/>
      <c r="D73" s="282"/>
      <c r="E73" s="282"/>
      <c r="F73" s="282"/>
      <c r="G73" s="282"/>
      <c r="H73" s="282"/>
    </row>
    <row r="74" spans="2:9">
      <c r="B74" s="282"/>
      <c r="C74" s="282"/>
      <c r="D74" s="282"/>
      <c r="E74" s="282"/>
      <c r="F74" s="282"/>
      <c r="G74" s="282"/>
      <c r="H74" s="282"/>
    </row>
    <row r="75" spans="2:9">
      <c r="B75" s="282"/>
      <c r="C75" s="282"/>
      <c r="D75" s="282"/>
      <c r="E75" s="282"/>
      <c r="F75" s="282"/>
      <c r="G75" s="282"/>
      <c r="H75" s="282"/>
    </row>
    <row r="76" spans="2:9">
      <c r="B76" s="282"/>
      <c r="C76" s="282"/>
      <c r="D76" s="282"/>
      <c r="E76" s="282"/>
      <c r="F76" s="282"/>
      <c r="G76" s="282"/>
      <c r="H76" s="282"/>
    </row>
    <row r="77" spans="2:9">
      <c r="B77" s="282"/>
      <c r="C77" s="282"/>
      <c r="D77" s="282"/>
      <c r="E77" s="282"/>
      <c r="F77" s="282"/>
      <c r="G77" s="282"/>
      <c r="H77" s="282"/>
    </row>
    <row r="78" spans="2:9">
      <c r="B78" s="282"/>
      <c r="C78" s="282"/>
      <c r="D78" s="282"/>
      <c r="E78" s="282"/>
      <c r="F78" s="282"/>
      <c r="G78" s="282"/>
      <c r="H78" s="282"/>
    </row>
  </sheetData>
  <sheetProtection algorithmName="SHA-512" hashValue="pVUdW2/L3DHkYAIfh5URlwMZK5mNw2B4p7OivRtbBZXtQyM22DnWy+ZnbSH2z4p+/O21Yvbl6tKvamNKFruT/w==" saltValue="wjbmNSOewcFe7hlVz5SkUA==" spinCount="100000" sheet="1" objects="1" scenarios="1"/>
  <mergeCells count="114">
    <mergeCell ref="A49:A64"/>
    <mergeCell ref="A11:A18"/>
    <mergeCell ref="B17:B18"/>
    <mergeCell ref="A7:A8"/>
    <mergeCell ref="A9:A10"/>
    <mergeCell ref="A3:A6"/>
    <mergeCell ref="A2:F2"/>
    <mergeCell ref="A1:U1"/>
    <mergeCell ref="H21:H23"/>
    <mergeCell ref="E21:E23"/>
    <mergeCell ref="D21:D23"/>
    <mergeCell ref="C21:C23"/>
    <mergeCell ref="B21:B23"/>
    <mergeCell ref="F21:F23"/>
    <mergeCell ref="G21:G23"/>
    <mergeCell ref="A32:A33"/>
    <mergeCell ref="B32:H33"/>
    <mergeCell ref="A34:A35"/>
    <mergeCell ref="B34:H35"/>
    <mergeCell ref="B36:H37"/>
    <mergeCell ref="B28:B29"/>
    <mergeCell ref="C28:H29"/>
    <mergeCell ref="A19:A29"/>
    <mergeCell ref="A30:A31"/>
    <mergeCell ref="A36:A46"/>
    <mergeCell ref="A47:A48"/>
    <mergeCell ref="B47:H48"/>
    <mergeCell ref="C38:D38"/>
    <mergeCell ref="C39:D39"/>
    <mergeCell ref="C40:D40"/>
    <mergeCell ref="C41:D41"/>
    <mergeCell ref="C42:D42"/>
    <mergeCell ref="C43:D43"/>
    <mergeCell ref="C44:D44"/>
    <mergeCell ref="K2:S3"/>
    <mergeCell ref="K4:L4"/>
    <mergeCell ref="K5:L5"/>
    <mergeCell ref="K6:L6"/>
    <mergeCell ref="K7:L7"/>
    <mergeCell ref="B45:B46"/>
    <mergeCell ref="C45:H46"/>
    <mergeCell ref="D13:G13"/>
    <mergeCell ref="D14:G14"/>
    <mergeCell ref="D15:G15"/>
    <mergeCell ref="D16:G16"/>
    <mergeCell ref="B3:H6"/>
    <mergeCell ref="B7:H8"/>
    <mergeCell ref="B9:H10"/>
    <mergeCell ref="B11:H12"/>
    <mergeCell ref="C17:H18"/>
    <mergeCell ref="M12:U13"/>
    <mergeCell ref="K12:L13"/>
    <mergeCell ref="B30:H31"/>
    <mergeCell ref="B19:H20"/>
    <mergeCell ref="M10:U11"/>
    <mergeCell ref="M16:U17"/>
    <mergeCell ref="K8:L9"/>
    <mergeCell ref="K10:L11"/>
    <mergeCell ref="K28:L29"/>
    <mergeCell ref="M28:U29"/>
    <mergeCell ref="K30:L31"/>
    <mergeCell ref="M30:U31"/>
    <mergeCell ref="K32:L33"/>
    <mergeCell ref="M32:U33"/>
    <mergeCell ref="K34:L35"/>
    <mergeCell ref="M34:U35"/>
    <mergeCell ref="K18:L19"/>
    <mergeCell ref="K24:L25"/>
    <mergeCell ref="K26:L27"/>
    <mergeCell ref="K22:L23"/>
    <mergeCell ref="M22:U23"/>
    <mergeCell ref="M14:U15"/>
    <mergeCell ref="M8:U9"/>
    <mergeCell ref="M20:U21"/>
    <mergeCell ref="M18:U19"/>
    <mergeCell ref="K20:L21"/>
    <mergeCell ref="M4:S4"/>
    <mergeCell ref="M5:S5"/>
    <mergeCell ref="M6:S6"/>
    <mergeCell ref="M7:S7"/>
    <mergeCell ref="K16:L17"/>
    <mergeCell ref="B70:H78"/>
    <mergeCell ref="M42:U43"/>
    <mergeCell ref="J2:J59"/>
    <mergeCell ref="K60:R61"/>
    <mergeCell ref="M36:U37"/>
    <mergeCell ref="K38:L39"/>
    <mergeCell ref="M38:U39"/>
    <mergeCell ref="K40:L41"/>
    <mergeCell ref="M40:U41"/>
    <mergeCell ref="M50:U51"/>
    <mergeCell ref="M52:U53"/>
    <mergeCell ref="M54:U55"/>
    <mergeCell ref="M56:U57"/>
    <mergeCell ref="M58:U59"/>
    <mergeCell ref="M24:U25"/>
    <mergeCell ref="M26:U27"/>
    <mergeCell ref="B49:H64"/>
    <mergeCell ref="K56:L57"/>
    <mergeCell ref="K46:L47"/>
    <mergeCell ref="K48:L49"/>
    <mergeCell ref="M44:U45"/>
    <mergeCell ref="M46:U47"/>
    <mergeCell ref="M48:U49"/>
    <mergeCell ref="K14:L15"/>
    <mergeCell ref="K52:L53"/>
    <mergeCell ref="J64:S64"/>
    <mergeCell ref="K58:L59"/>
    <mergeCell ref="K36:L37"/>
    <mergeCell ref="K42:L43"/>
    <mergeCell ref="K44:L45"/>
    <mergeCell ref="J63:O63"/>
    <mergeCell ref="K50:L51"/>
    <mergeCell ref="K54:L55"/>
  </mergeCells>
  <conditionalFormatting sqref="A30">
    <cfRule type="expression" dxfId="246" priority="6">
      <formula>$B$6="pregnant"</formula>
    </cfRule>
  </conditionalFormatting>
  <conditionalFormatting sqref="A32">
    <cfRule type="expression" dxfId="245" priority="5">
      <formula>$B$6="lactating"</formula>
    </cfRule>
  </conditionalFormatting>
  <pageMargins left="0.7" right="0.7" top="0.75" bottom="0.75" header="0.3" footer="0.3"/>
  <pageSetup paperSize="9" scale="34"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3"/>
  <dimension ref="A1:K15"/>
  <sheetViews>
    <sheetView workbookViewId="0">
      <selection activeCell="C8" sqref="C8"/>
    </sheetView>
  </sheetViews>
  <sheetFormatPr defaultColWidth="8.88671875" defaultRowHeight="14.4"/>
  <cols>
    <col min="1" max="1" width="14.33203125" customWidth="1"/>
    <col min="2" max="2" width="12.33203125" customWidth="1"/>
    <col min="3" max="3" width="11" bestFit="1" customWidth="1"/>
  </cols>
  <sheetData>
    <row r="1" spans="1:11" ht="16.8" thickTop="1" thickBot="1">
      <c r="A1" s="332" t="s">
        <v>0</v>
      </c>
      <c r="B1" s="333"/>
      <c r="C1" s="1">
        <f>Formula!B3</f>
        <v>50</v>
      </c>
      <c r="D1" s="2" t="s">
        <v>1</v>
      </c>
      <c r="E1" s="330"/>
      <c r="F1" s="331"/>
      <c r="G1" s="258" t="str">
        <f>Formula!B2</f>
        <v>NO</v>
      </c>
      <c r="H1" s="336" t="s">
        <v>248</v>
      </c>
      <c r="I1" s="337"/>
    </row>
    <row r="2" spans="1:11" ht="16.8" thickTop="1" thickBot="1">
      <c r="A2" s="334" t="s">
        <v>2</v>
      </c>
      <c r="B2" s="335"/>
      <c r="C2" s="3">
        <f>Formula!B4</f>
        <v>110</v>
      </c>
      <c r="D2" s="4" t="s">
        <v>3</v>
      </c>
      <c r="E2" s="330"/>
      <c r="F2" s="331"/>
      <c r="H2">
        <f>SUM(20*(E3*E3))</f>
        <v>51.20000000000001</v>
      </c>
      <c r="I2" t="s">
        <v>3</v>
      </c>
    </row>
    <row r="3" spans="1:11" ht="16.8" thickTop="1" thickBot="1">
      <c r="A3" s="334" t="s">
        <v>4</v>
      </c>
      <c r="B3" s="335"/>
      <c r="C3" s="7">
        <f>Formula!B5</f>
        <v>160</v>
      </c>
      <c r="D3" s="2" t="s">
        <v>5</v>
      </c>
      <c r="E3" s="8">
        <f>SUM(C3/100)</f>
        <v>1.6</v>
      </c>
      <c r="F3" s="2" t="s">
        <v>64</v>
      </c>
      <c r="H3" s="27" t="s">
        <v>69</v>
      </c>
      <c r="I3" s="27" t="s">
        <v>67</v>
      </c>
      <c r="J3" s="27" t="s">
        <v>70</v>
      </c>
      <c r="K3" s="27" t="s">
        <v>71</v>
      </c>
    </row>
    <row r="4" spans="1:11" ht="16.8" thickTop="1" thickBot="1">
      <c r="A4" s="330" t="s">
        <v>66</v>
      </c>
      <c r="B4" s="331"/>
      <c r="C4" s="330" t="str">
        <f>Formula!B6</f>
        <v>male</v>
      </c>
      <c r="D4" s="342"/>
      <c r="E4" s="330"/>
      <c r="F4" s="331"/>
      <c r="G4" s="257"/>
      <c r="H4" s="27">
        <v>1</v>
      </c>
      <c r="I4" s="27">
        <v>1</v>
      </c>
      <c r="J4" s="27">
        <v>1</v>
      </c>
      <c r="K4" s="27">
        <v>1</v>
      </c>
    </row>
    <row r="5" spans="1:11" ht="16.8" thickTop="1" thickBot="1">
      <c r="A5" s="330" t="s">
        <v>6</v>
      </c>
      <c r="B5" s="342"/>
      <c r="C5" s="9">
        <f>SUM(C2/((C3/100)*(C3/100)))</f>
        <v>42.968749999999993</v>
      </c>
      <c r="D5" s="10" t="s">
        <v>7</v>
      </c>
      <c r="E5" s="330"/>
      <c r="F5" s="331"/>
      <c r="H5" s="27">
        <f>IF(AND(Formula!B3&lt;19,Formula!B3&gt;=3,Formula!B10&lt;=85),1.13,IF(Formula!B3&gt;=19,1.1,IF(AND(Formula!B3&lt;19,Formula!B3&gt;=3,Formula!B10&gt;85),1.12,"err")))</f>
        <v>1.1000000000000001</v>
      </c>
      <c r="I5" s="27">
        <f>IF(AND(Formula!B3&lt;19,Formula!B3&gt;=3,Formula!B10&lt;=85),1.16,IF(Formula!B3&gt;=19,1.12,IF(AND(Formula!B3&lt;19,Formula!B3&gt;=3,Formula!B10&gt;85),1.18,"err")))</f>
        <v>1.1200000000000001</v>
      </c>
      <c r="J5" s="27">
        <f>IF(AND(Formula!B3&lt;19,Formula!B3&gt;=14),1.16,IF(Formula!B3&gt;=19,1.12,"err"))</f>
        <v>1.1200000000000001</v>
      </c>
      <c r="K5" s="27">
        <f>IF(AND(Formula!B3&lt;19,Formula!B3&gt;=14),1.16,IF(Formula!B3&gt;=19,1.12,"err"))</f>
        <v>1.1200000000000001</v>
      </c>
    </row>
    <row r="6" spans="1:11" ht="16.8" thickTop="1" thickBot="1">
      <c r="A6" s="343" t="s">
        <v>56</v>
      </c>
      <c r="B6" s="344"/>
      <c r="C6" s="344"/>
      <c r="D6" s="344"/>
      <c r="E6" s="344"/>
      <c r="F6" s="345"/>
      <c r="H6" s="27">
        <f>IF(AND(Formula!B3&lt;19,Formula!B3&gt;=3,Formula!B10&lt;=85),1.26,IF(Formula!B3&gt;=19,1.25,IF(AND(Formula!B3&lt;19,Formula!B3&gt;=3,Formula!B10&gt;85),1.24,"err")))</f>
        <v>1.25</v>
      </c>
      <c r="I6" s="27">
        <f>IF(AND(Formula!B3&lt;19,Formula!B3&gt;=3,Formula!B10&lt;=85),1.31,IF(Formula!B3&gt;=19,1.27,IF(AND(Formula!B3&lt;19,Formula!B3&gt;=3,Formula!B10&gt;85),1.35,"err")))</f>
        <v>1.27</v>
      </c>
      <c r="J6" s="27">
        <f>IF(AND(Formula!B3&lt;19,Formula!B3&gt;=14),1.31,IF(Formula!B3&gt;=19,1.27,"err"))</f>
        <v>1.27</v>
      </c>
      <c r="K6" s="27">
        <f>IF(AND(Formula!B3&lt;19,Formula!B3&gt;=14),1.31,IF(Formula!B3&gt;=19,1.27,"err"))</f>
        <v>1.27</v>
      </c>
    </row>
    <row r="7" spans="1:11" ht="16.2" thickTop="1">
      <c r="A7" s="346" t="s">
        <v>57</v>
      </c>
      <c r="B7" s="347"/>
      <c r="C7" s="348" t="s">
        <v>61</v>
      </c>
      <c r="D7" s="349"/>
      <c r="E7" s="350" t="s">
        <v>63</v>
      </c>
      <c r="F7" s="351"/>
      <c r="H7" s="27">
        <f>IF(AND(Formula!B3&lt;19,Formula!B3&gt;=3,Formula!B10&lt;=85),1.42,IF(Formula!B3&gt;=19,1.48,IF(AND(Formula!B3&lt;19,Formula!B3&gt;=3,Formula!B10&gt;85),1.45,"err")))</f>
        <v>1.48</v>
      </c>
      <c r="I7" s="27">
        <f>IF(AND(Formula!B3&lt;19,Formula!B3&gt;=3,Formula!B10&lt;=85),1.56,IF(Formula!B3&gt;=19,1.45,IF(AND(Formula!B3&lt;19,Formula!B3&gt;=3,Formula!B10&gt;85),1.6,"err")))</f>
        <v>1.45</v>
      </c>
      <c r="J7" s="27">
        <f>IF(AND(Formula!B3&lt;19,Formula!B3&gt;=14),1.56,IF(Formula!B3&gt;=19,1.45,"err"))</f>
        <v>1.45</v>
      </c>
      <c r="K7" s="27">
        <f>IF(AND(Formula!B3&lt;19,Formula!B3&gt;=14),1.56,IF(Formula!B3&gt;=19,1.45,"err"))</f>
        <v>1.45</v>
      </c>
    </row>
    <row r="8" spans="1:11" ht="16.2" thickBot="1">
      <c r="A8" s="24">
        <f>SUM(18.5*(E3*E3))</f>
        <v>47.360000000000007</v>
      </c>
      <c r="B8" s="25" t="s">
        <v>3</v>
      </c>
      <c r="C8" s="13">
        <f>SUM(21.75*(E3*E3))</f>
        <v>55.680000000000014</v>
      </c>
      <c r="D8" s="14" t="s">
        <v>3</v>
      </c>
      <c r="E8" s="11">
        <f>SUM(25*(E3*E3))</f>
        <v>64.000000000000014</v>
      </c>
      <c r="F8" s="12" t="s">
        <v>3</v>
      </c>
    </row>
    <row r="9" spans="1:11" ht="16.8" thickTop="1" thickBot="1">
      <c r="A9" s="338" t="s">
        <v>58</v>
      </c>
      <c r="B9" s="338"/>
      <c r="C9" s="338"/>
      <c r="D9" s="338"/>
      <c r="E9" s="338"/>
      <c r="F9" s="339"/>
    </row>
    <row r="10" spans="1:11" ht="16.8" thickTop="1" thickBot="1">
      <c r="A10" s="352" t="s">
        <v>58</v>
      </c>
      <c r="B10" s="353"/>
      <c r="C10" s="15">
        <f>SUM((C2/C8)*100)</f>
        <v>197.55747126436776</v>
      </c>
      <c r="D10" s="16" t="s">
        <v>62</v>
      </c>
      <c r="E10" s="17"/>
      <c r="F10" s="18"/>
    </row>
    <row r="11" spans="1:11" ht="16.8" thickTop="1" thickBot="1">
      <c r="A11" s="354" t="s">
        <v>59</v>
      </c>
      <c r="B11" s="338"/>
      <c r="C11" s="338"/>
      <c r="D11" s="338"/>
      <c r="E11" s="338"/>
      <c r="F11" s="339"/>
    </row>
    <row r="12" spans="1:11" ht="16.8" thickTop="1" thickBot="1">
      <c r="A12" s="355" t="s">
        <v>68</v>
      </c>
      <c r="B12" s="341"/>
      <c r="C12" s="26">
        <f>IF(C4="male",(((C2-C8)*0.38)+C8),IF(C4="female",(((C2-C8)*0.32)+C8),"err"))</f>
        <v>76.321600000000004</v>
      </c>
      <c r="D12" s="19" t="s">
        <v>3</v>
      </c>
      <c r="E12" s="20"/>
      <c r="F12" s="6"/>
    </row>
    <row r="13" spans="1:11" ht="16.8" thickTop="1" thickBot="1">
      <c r="A13" s="338" t="s">
        <v>60</v>
      </c>
      <c r="B13" s="338"/>
      <c r="C13" s="338"/>
      <c r="D13" s="338"/>
      <c r="E13" s="338"/>
      <c r="F13" s="339"/>
    </row>
    <row r="14" spans="1:11" ht="16.8" thickTop="1" thickBot="1">
      <c r="A14" s="340" t="s">
        <v>60</v>
      </c>
      <c r="B14" s="341"/>
      <c r="C14" s="21">
        <f>IF(AND(C4="pregnant",C5&lt;18.5),A8,IF(AND(C4="lactating",C5&lt;18.5),A8,IF(C10&gt;130,C12,IF(C10&lt;70,C12,IF(AND(C10&gt;=70,C10&lt;=130,C5&gt;25,G1="NO"),E8,IF(AND(C10&gt;=70,C10&lt;=130,G1="YES"),H2,IF(AND(C10&gt;=70,C10&lt;=130,C5&lt;18.5,G1="NO"),A8,IF(AND(C10&gt;=70,C10&lt;=130,C5&gt;=18.5,C5&lt;=25,G1="NO"),C8,"err"))))))))</f>
        <v>76.321600000000004</v>
      </c>
      <c r="D14" s="22" t="s">
        <v>3</v>
      </c>
      <c r="E14" s="5"/>
      <c r="F14" s="23"/>
    </row>
    <row r="15" spans="1:11" ht="15" thickTop="1"/>
  </sheetData>
  <sheetProtection algorithmName="SHA-512" hashValue="rwinR8aDGwaaZ3g+kGP92lo7awbu2oDxN9KiTiOz6c4DPMMCRc1a5LqJuEV+l7dk/GhuX6WK2ZY5weJGU17+jQ==" saltValue="coidZe+CSuDwLAOsP91/pw==" spinCount="100000" sheet="1" objects="1" scenarios="1"/>
  <mergeCells count="21">
    <mergeCell ref="H1:I1"/>
    <mergeCell ref="A13:F13"/>
    <mergeCell ref="A14:B14"/>
    <mergeCell ref="A4:B4"/>
    <mergeCell ref="C4:D4"/>
    <mergeCell ref="E4:F4"/>
    <mergeCell ref="E5:F5"/>
    <mergeCell ref="A5:B5"/>
    <mergeCell ref="A6:F6"/>
    <mergeCell ref="A7:B7"/>
    <mergeCell ref="C7:D7"/>
    <mergeCell ref="E7:F7"/>
    <mergeCell ref="A9:F9"/>
    <mergeCell ref="A10:B10"/>
    <mergeCell ref="A11:F11"/>
    <mergeCell ref="A12:B12"/>
    <mergeCell ref="E1:F1"/>
    <mergeCell ref="E2:F2"/>
    <mergeCell ref="A1:B1"/>
    <mergeCell ref="A2:B2"/>
    <mergeCell ref="A3:B3"/>
  </mergeCells>
  <conditionalFormatting sqref="D5">
    <cfRule type="expression" dxfId="244" priority="1">
      <formula>$C$5&lt;18.5</formula>
    </cfRule>
    <cfRule type="expression" dxfId="243" priority="2">
      <formula>$C$5&lt;=25</formula>
    </cfRule>
    <cfRule type="expression" dxfId="242" priority="3">
      <formula>$C$5&gt;25</formula>
    </cfRule>
  </conditionalFormatting>
  <conditionalFormatting sqref="C5">
    <cfRule type="cellIs" dxfId="241" priority="11" operator="between">
      <formula>18.5</formula>
      <formula>25</formula>
    </cfRule>
    <cfRule type="cellIs" dxfId="240" priority="12" operator="lessThan">
      <formula>18.5</formula>
    </cfRule>
    <cfRule type="cellIs" dxfId="239" priority="13" operator="greaterThan">
      <formula>25</formula>
    </cfRule>
  </conditionalFormatting>
  <conditionalFormatting sqref="C10">
    <cfRule type="cellIs" dxfId="238" priority="8" operator="between">
      <formula>70</formula>
      <formula>130</formula>
    </cfRule>
    <cfRule type="cellIs" dxfId="237" priority="9" operator="lessThan">
      <formula>70</formula>
    </cfRule>
    <cfRule type="cellIs" dxfId="236" priority="10" operator="greaterThan">
      <formula>130</formula>
    </cfRule>
  </conditionalFormatting>
  <conditionalFormatting sqref="A6">
    <cfRule type="containsText" dxfId="235" priority="7" operator="containsText" text="الوزن الصحى">
      <formula>NOT(ISERROR(SEARCH("الوزن الصحى",A6)))</formula>
    </cfRule>
  </conditionalFormatting>
  <conditionalFormatting sqref="D10">
    <cfRule type="expression" dxfId="234" priority="4">
      <formula>$C$10&lt;70</formula>
    </cfRule>
    <cfRule type="expression" dxfId="233" priority="5">
      <formula>$C$10&lt;=130</formula>
    </cfRule>
    <cfRule type="expression" dxfId="232" priority="6">
      <formula>$C$10&gt;130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4">
    <pageSetUpPr fitToPage="1"/>
  </sheetPr>
  <dimension ref="A1:F98"/>
  <sheetViews>
    <sheetView topLeftCell="B7" zoomScale="119" zoomScaleNormal="106" workbookViewId="0">
      <selection activeCell="B16" sqref="B16"/>
    </sheetView>
  </sheetViews>
  <sheetFormatPr defaultColWidth="14.44140625" defaultRowHeight="15" customHeight="1"/>
  <cols>
    <col min="1" max="1" width="27.88671875" customWidth="1"/>
    <col min="2" max="2" width="12.33203125" style="36" customWidth="1"/>
    <col min="3" max="3" width="12" customWidth="1"/>
    <col min="4" max="4" width="19.44140625" customWidth="1"/>
    <col min="5" max="5" width="12.33203125" customWidth="1"/>
    <col min="6" max="6" width="10.33203125" customWidth="1"/>
  </cols>
  <sheetData>
    <row r="1" spans="1:6" ht="33.75" customHeight="1" thickBot="1">
      <c r="A1" s="356" t="s">
        <v>249</v>
      </c>
      <c r="B1" s="357"/>
      <c r="C1" s="357"/>
      <c r="D1" s="358"/>
      <c r="E1" s="28"/>
      <c r="F1" s="28"/>
    </row>
    <row r="2" spans="1:6" s="183" customFormat="1" ht="18.75" customHeight="1">
      <c r="A2" s="60" t="s">
        <v>247</v>
      </c>
      <c r="B2" s="39" t="s">
        <v>264</v>
      </c>
      <c r="D2" s="272"/>
    </row>
    <row r="3" spans="1:6" ht="17.25" customHeight="1">
      <c r="A3" s="61" t="s">
        <v>0</v>
      </c>
      <c r="B3" s="181">
        <v>50</v>
      </c>
      <c r="C3" s="62" t="s">
        <v>1</v>
      </c>
      <c r="D3" s="273"/>
    </row>
    <row r="4" spans="1:6" ht="17.25" customHeight="1">
      <c r="A4" s="61" t="s">
        <v>2</v>
      </c>
      <c r="B4" s="181">
        <v>110</v>
      </c>
      <c r="C4" s="62" t="s">
        <v>3</v>
      </c>
      <c r="D4" s="63"/>
    </row>
    <row r="5" spans="1:6" ht="17.25" customHeight="1">
      <c r="A5" s="61" t="s">
        <v>4</v>
      </c>
      <c r="B5" s="181">
        <v>160</v>
      </c>
      <c r="C5" s="62" t="s">
        <v>5</v>
      </c>
      <c r="D5" s="64"/>
    </row>
    <row r="6" spans="1:6" ht="17.25" customHeight="1">
      <c r="A6" s="129" t="s">
        <v>66</v>
      </c>
      <c r="B6" s="269" t="s">
        <v>69</v>
      </c>
      <c r="C6" s="65"/>
      <c r="D6" s="363"/>
    </row>
    <row r="7" spans="1:6" ht="17.25" customHeight="1" thickBot="1">
      <c r="A7" s="270" t="s">
        <v>8</v>
      </c>
      <c r="B7" s="269">
        <v>1.1000000000000001</v>
      </c>
      <c r="C7" s="66"/>
      <c r="D7" s="363"/>
    </row>
    <row r="8" spans="1:6" ht="17.25" customHeight="1" thickTop="1">
      <c r="A8" s="268" t="s">
        <v>74</v>
      </c>
      <c r="B8" s="267">
        <v>0</v>
      </c>
      <c r="C8" s="68"/>
      <c r="D8" s="363"/>
    </row>
    <row r="9" spans="1:6" ht="16.5" customHeight="1">
      <c r="A9" s="265" t="s">
        <v>75</v>
      </c>
      <c r="B9" s="264">
        <v>0</v>
      </c>
      <c r="C9" s="68"/>
      <c r="D9" s="67"/>
    </row>
    <row r="10" spans="1:6" ht="17.25" customHeight="1" thickBot="1">
      <c r="A10" s="266" t="s">
        <v>72</v>
      </c>
      <c r="B10" s="263">
        <v>0</v>
      </c>
      <c r="C10" s="262" t="s">
        <v>73</v>
      </c>
      <c r="D10" s="67"/>
      <c r="E10" s="28"/>
      <c r="F10" s="28"/>
    </row>
    <row r="11" spans="1:6" ht="17.25" customHeight="1" thickTop="1">
      <c r="A11" s="69" t="s">
        <v>6</v>
      </c>
      <c r="B11" s="70">
        <f>SUM(B4/((B5/100)*(B5/100)))</f>
        <v>42.968749999999993</v>
      </c>
      <c r="C11" s="271" t="s">
        <v>7</v>
      </c>
      <c r="D11" s="63"/>
      <c r="E11" s="38"/>
      <c r="F11" s="38"/>
    </row>
    <row r="12" spans="1:6" ht="17.25" customHeight="1">
      <c r="A12" s="129" t="s">
        <v>65</v>
      </c>
      <c r="B12" s="130">
        <f>'target weight'!C14</f>
        <v>76.321600000000004</v>
      </c>
      <c r="C12" s="130" t="s">
        <v>3</v>
      </c>
      <c r="D12" s="274" t="str">
        <f>IF('target weight'!C14='target weight'!C12,'target weight'!A12,IF('target weight'!C14='target weight'!E8,'target weight'!E7,IF('target weight'!C14='target weight'!C8,'target weight'!C7,IF('target weight'!C14='target weight'!A8,'target weight'!A7,IF('target weight'!C14='target weight'!H2,'target weight'!H1,"err")))))</f>
        <v>adjusted</v>
      </c>
      <c r="E12" s="38"/>
      <c r="F12" s="38"/>
    </row>
    <row r="13" spans="1:6" ht="19.5" customHeight="1" thickBot="1">
      <c r="A13" s="359" t="s">
        <v>9</v>
      </c>
      <c r="B13" s="360"/>
      <c r="C13" s="360"/>
      <c r="D13" s="361"/>
      <c r="E13" s="38"/>
      <c r="F13" s="38"/>
    </row>
    <row r="14" spans="1:6" ht="17.25" customHeight="1">
      <c r="A14" s="71" t="s">
        <v>10</v>
      </c>
      <c r="B14" s="72"/>
      <c r="C14" s="73">
        <f>IF(B3&lt;1/3,((89*B4)-100)+175,IF(AND(B3&lt;1/2,B3&gt;=1/3),((89*B4)-100)+56,IF(AND(B3&lt;13/12,B3&gt;=1/2),((89*B4)-100)+22,IF(AND(B3&lt;3,B3&gt;=13/12),((89*B4)-100)+20,IF(AND(B3&gt;=3,B3&lt;9,B10&gt;=5,B10&lt;85,B6="male"),((88.5-(61.9*B3)+(B7*((26.7*B4)+(903*(B5/100))))))+20,IF(AND(B3&gt;=9,B3&lt;19,B10&gt;=5,B10&lt;85,B6="male"),((88.5-(61.9*B3)+(B7*((26.7*B4)+(903*(B5/100))))))+25,IF(AND(B3&gt;=3,B3&lt;19,B10&gt;=85,B6="male"),((114-(50.9*B3)+(B7*((19.5*B4)+(1161.4*(B5/100)))))),IF(AND(B3&gt;=3,B3&lt;9,B10&gt;=5,B10&lt;85,B6="female"),((135.5-(30.8*B3)+(B7*((10*B4)+(934*(B5/100))))))+20,IF(AND(B3&gt;=9,B3&lt;19,B10&gt;=5,B10&lt;85,B6="female"),((135.5-(30.8*B3)+(B7*((10*B4)+(934*(B5/100))))))+25,IF(AND(B3&gt;=3,B3&lt;19,B10&gt;=85,B6="female"),((389-(41.2*B3)+(B7*((15*B4)+(701.6*(B5/100)))))),IF(AND(B6="male",B3&gt;=19),(662-(B3*9.53)+(B7*((15.91*B12)+(539.6*(B5/100))))),IF(AND(B6="female",B3&gt;=19),(354-(B3*6.91)+(B7*((9.36*B12)+(726*(B5/100))))),IF(AND(B6="pregnant",B3&gt;=14,B3&lt;19,B10&gt;=5,B8&lt;20),(135.3-(B3*30.8)+(B7*((10*B4)+(934*(B5/100)))))+25,IF(AND(B6="pregnant",B3&gt;=14,B3&lt;19,B10&gt;=5,B8&gt;=20),(135.3-(B3*30.8)+(B7*((10*B4)+(934*(B5/100)))))+25+(8*B8)+180,IF(AND(B6="pregnant",B3&gt;=19,B3&lt;=50,B8&lt;20,B11&gt;=18.5),(354-(B3*6.91)+(B7*((9.36*B4)+(726*(B5/100))))),IF(AND(B6="pregnant",B3&gt;=19,B3&lt;=50,B8&gt;=20,B11&gt;=18.5),(354-(B3*6.91)+(B7*((9.36*B4)+(726*(B5/100)))))+(8*B8)+180,IF(AND(B6="lactating",B3&gt;=14,B3&lt;19,B10&gt;=5,B9&lt;=6),(135.3-(B3*30.8)+(B7*((10*B4)+(934*(B5/100)))))+355,IF(AND(B6="lactating",B3&gt;=14,B3&lt;19,B10&gt;=5,B9&lt;=24,B9&gt;6),(135.3-(B3*30.8)+(B7*((10*B4)+(934*(B5/100)))))+425,IF(AND(B6="lactating",B3&gt;=19,B3&lt;=50,B9&lt;=6,B11&gt;=18.5),(354-(B3*6.91)+(B7*((9.36*B4)+(726*(B5/100)))))+355,IF(AND(B6="lactating",B3&gt;=19,B3&lt;=50,B9&lt;=24,B9&gt;6,B11&gt;=18.5),(354-(B3*6.91)+(B7*((9.36*B4)+(726*(B5/100)))))+400,IF(AND(B3&gt;=3,B3&lt;9,B10&lt;5,B6="male"),((88.5-(61.9*B3)+(B7*((26.7*B4)+(903*(B5/100))))))+520,IF(AND(B3&gt;=9,B3&lt;19,B10&lt;5,B6="male"),((88.5-(61.9*B3)+(B7*((26.7*B4)+(903*(B5/100))))))+525,IF(AND(B3&gt;=3,B3&lt;9,B10&lt;5,B6="female"),((135.5-(30.8*B3)+(B7*((10*B4)+(934*(B5/100))))))+520,IF(AND(B3&gt;=9,B3&lt;19,B10&lt;5,B6="female"),((135.5-(30.8*B3)+(B7*((10*B4)+(934*(B5/100))))))+525,IF(AND(B6="pregnant",B3&gt;=14,B3&lt;19,B10&lt;5,B8&lt;20),(135.3-(B3*30.8)+(B7*((10*B4)+(934*(B5/100)))))+525,IF(AND(B6="pregnant",B3&gt;=14,B3&lt;19,B10&lt;5,B8&gt;=20),(135.3-(B3*30.8)+(B7*((10*B4)+(934*(B5/100)))))+25+(8*B8)+680,IF(AND(B6="pregnant",B3&gt;=19,B3&lt;=50,B8&lt;20,B11&lt;18.5),(354-(B3*6.91)+(B7*((9.36*B12)+(726*(B5/100))))),IF(AND(B6="pregnant",B3&gt;=19,B3&lt;=50,B8&gt;=20,B11&lt;18.5),(354-(B3*6.91)+(B7*((9.36*B12)+(726*(B5/100)))))+(8*B8)+180,IF(AND(B6="lactating",B3&gt;=14,B3&lt;19,B10&lt;5,B9&lt;=6),(135.3-(B3*30.8)+(B7*((10*B4)+(934*(B5/100)))))+855,IF(AND(B6="lactating",B3&gt;=14,B3&lt;19,B10&lt;5,B9&lt;=24,B9&gt;6),(135.3-(B3*30.8)+(B7*((10*B4)+(934*(B5/100)))))+925,IF(AND(B6="lactating",B3&gt;=19,B3&lt;=50,B9&lt;=6,B11&lt;18.5),(354-(B3*6.91)+(B7*((9.36*B12)+(726*(B5/100)))))+355,IF(AND(B6="lactating",B3&gt;=19,B3&lt;=50,B9&lt;=24,B9&gt;6,B11&lt;18.5),(354-(B3*6.91)+(B7*((9.36*B12)+(726*(B5/100)))))+400,"err"))))))))))))))))))))))))))))))))</f>
        <v>2470.9003216000006</v>
      </c>
      <c r="D14" s="74" t="s">
        <v>11</v>
      </c>
      <c r="E14" s="37"/>
      <c r="F14" s="37"/>
    </row>
    <row r="15" spans="1:6" ht="17.25" customHeight="1">
      <c r="A15" s="75" t="s">
        <v>12</v>
      </c>
      <c r="B15" s="181">
        <v>1.2</v>
      </c>
      <c r="C15" s="73">
        <f>IF(AND(B6="male",B3&gt;=19),(B12*B15),IF(AND(B6="female",B3&gt;=19),(B12*B15),IF(AND(B6="pregnant",B11&lt;18.5),(B12*B15)+25,IF(AND(B6="pregnant",B11&gt;=18.5),(B4*B15)+25,IF(AND(B6="lactating",B11&lt;18.5),(B12*B15)+20,IF(AND(B6="lactating",B11&lt;18.5),(B4*B15)+20,(B4*B15)))))))</f>
        <v>91.585920000000002</v>
      </c>
      <c r="D15" s="76" t="s">
        <v>13</v>
      </c>
      <c r="E15" s="37"/>
      <c r="F15" s="37"/>
    </row>
    <row r="16" spans="1:6" ht="17.25" customHeight="1">
      <c r="A16" s="75" t="s">
        <v>14</v>
      </c>
      <c r="B16" s="181">
        <v>21</v>
      </c>
      <c r="C16" s="73">
        <f>SUM((C14*B16)/900)</f>
        <v>57.654340837333351</v>
      </c>
      <c r="D16" s="76" t="s">
        <v>13</v>
      </c>
      <c r="E16" s="37"/>
      <c r="F16" s="37"/>
    </row>
    <row r="17" spans="1:6" ht="17.25" customHeight="1">
      <c r="A17" s="77" t="s">
        <v>16</v>
      </c>
      <c r="B17" s="78" t="s">
        <v>17</v>
      </c>
      <c r="C17" s="73">
        <f>SUM((C14-((C15*4)+(C16*9)))/4)</f>
        <v>396.41689351600007</v>
      </c>
      <c r="D17" s="79" t="s">
        <v>13</v>
      </c>
      <c r="E17" s="128"/>
      <c r="F17" s="128"/>
    </row>
    <row r="18" spans="1:6" ht="17.25" customHeight="1">
      <c r="A18" s="131" t="s">
        <v>15</v>
      </c>
      <c r="B18" s="132"/>
      <c r="C18" s="73">
        <f>SUM(C17/3)</f>
        <v>132.13896450533335</v>
      </c>
      <c r="D18" s="79" t="s">
        <v>13</v>
      </c>
      <c r="E18" s="128"/>
      <c r="F18" s="128"/>
    </row>
    <row r="19" spans="1:6" ht="17.25" customHeight="1" thickBot="1">
      <c r="A19" s="133" t="s">
        <v>18</v>
      </c>
      <c r="B19" s="134"/>
      <c r="C19" s="80">
        <f>C17*(2/3)</f>
        <v>264.2779290106667</v>
      </c>
      <c r="D19" s="81" t="s">
        <v>13</v>
      </c>
      <c r="E19" s="128"/>
      <c r="F19" s="128"/>
    </row>
    <row r="20" spans="1:6" ht="15" customHeight="1">
      <c r="A20" s="364"/>
      <c r="B20" s="365"/>
      <c r="C20" s="365"/>
      <c r="D20" s="366"/>
    </row>
    <row r="21" spans="1:6" ht="15.75" customHeight="1" thickBot="1">
      <c r="A21" s="367"/>
      <c r="B21" s="368"/>
      <c r="C21" s="368"/>
      <c r="D21" s="369"/>
    </row>
    <row r="22" spans="1:6" ht="15.75" customHeight="1">
      <c r="A22" s="279" t="s">
        <v>177</v>
      </c>
      <c r="B22" s="362"/>
      <c r="C22" s="362"/>
      <c r="D22" s="362"/>
      <c r="E22" s="28"/>
      <c r="F22" s="28"/>
    </row>
    <row r="23" spans="1:6" ht="15.75" customHeight="1">
      <c r="A23" s="279" t="s">
        <v>99</v>
      </c>
      <c r="B23" s="362"/>
      <c r="C23" s="362"/>
      <c r="D23" s="362"/>
      <c r="E23" s="362"/>
      <c r="F23" s="362"/>
    </row>
    <row r="24" spans="1:6" ht="15.75" customHeight="1"/>
    <row r="25" spans="1:6" ht="15.75" customHeight="1"/>
    <row r="26" spans="1:6" ht="15.75" customHeight="1"/>
    <row r="27" spans="1:6" ht="15.75" customHeight="1"/>
    <row r="28" spans="1:6" ht="15.75" customHeight="1"/>
    <row r="29" spans="1:6" ht="15.75" customHeight="1"/>
    <row r="30" spans="1:6" ht="15.75" customHeight="1"/>
    <row r="31" spans="1:6" ht="15.75" customHeight="1"/>
    <row r="32" spans="1: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sheetData>
  <sheetProtection algorithmName="SHA-512" hashValue="+ThbOs8w4QBfTw84vrf6oliuYnF+yVTWNB/ttjxP0O0JxgeH41hLd80fBbHcX6n7D/xn6M6kuAI4BH/ut0mqVA==" saltValue="d6ImRbrjdqGFr0j0Rad3uw==" spinCount="100000" sheet="1" objects="1" scenarios="1"/>
  <mergeCells count="6">
    <mergeCell ref="A1:D1"/>
    <mergeCell ref="A13:D13"/>
    <mergeCell ref="A22:D22"/>
    <mergeCell ref="A23:F23"/>
    <mergeCell ref="D6:D8"/>
    <mergeCell ref="A20:D21"/>
  </mergeCells>
  <conditionalFormatting sqref="B11">
    <cfRule type="expression" dxfId="231" priority="13">
      <formula>$B$3&lt;19</formula>
    </cfRule>
    <cfRule type="cellIs" dxfId="230" priority="44" operator="between">
      <formula>18.5</formula>
      <formula>25</formula>
    </cfRule>
    <cfRule type="cellIs" dxfId="229" priority="45" operator="lessThan">
      <formula>18.5</formula>
    </cfRule>
    <cfRule type="cellIs" dxfId="228" priority="46" operator="greaterThan">
      <formula>25</formula>
    </cfRule>
  </conditionalFormatting>
  <conditionalFormatting sqref="A8">
    <cfRule type="expression" dxfId="227" priority="20">
      <formula>$B$3&lt;14</formula>
    </cfRule>
    <cfRule type="expression" dxfId="226" priority="41">
      <formula>$B$6="pregnant"</formula>
    </cfRule>
  </conditionalFormatting>
  <conditionalFormatting sqref="A9">
    <cfRule type="expression" dxfId="225" priority="17">
      <formula>$B$3&lt;14</formula>
    </cfRule>
    <cfRule type="expression" dxfId="224" priority="39">
      <formula>$B$6="lactating"</formula>
    </cfRule>
  </conditionalFormatting>
  <conditionalFormatting sqref="A10">
    <cfRule type="expression" dxfId="223" priority="34">
      <formula>$B$3&lt;3</formula>
    </cfRule>
    <cfRule type="expression" dxfId="222" priority="35">
      <formula>$B$3&gt;=19</formula>
    </cfRule>
    <cfRule type="expression" dxfId="221" priority="36">
      <formula>$B$3&lt;19</formula>
    </cfRule>
    <cfRule type="expression" dxfId="220" priority="37">
      <formula>$B$3&gt;=3</formula>
    </cfRule>
  </conditionalFormatting>
  <conditionalFormatting sqref="B10">
    <cfRule type="expression" dxfId="219" priority="30">
      <formula>$B$3&lt;3</formula>
    </cfRule>
    <cfRule type="expression" dxfId="218" priority="31">
      <formula>$B$3&gt;=19</formula>
    </cfRule>
  </conditionalFormatting>
  <conditionalFormatting sqref="A6">
    <cfRule type="expression" dxfId="217" priority="29">
      <formula>$B$3&lt;3</formula>
    </cfRule>
  </conditionalFormatting>
  <conditionalFormatting sqref="A7">
    <cfRule type="expression" dxfId="216" priority="25">
      <formula>$B$3&lt;3</formula>
    </cfRule>
  </conditionalFormatting>
  <conditionalFormatting sqref="B6">
    <cfRule type="expression" dxfId="215" priority="22">
      <formula>$B$3&lt;3</formula>
    </cfRule>
  </conditionalFormatting>
  <conditionalFormatting sqref="B7">
    <cfRule type="expression" dxfId="214" priority="21">
      <formula>$B$3&lt;3</formula>
    </cfRule>
  </conditionalFormatting>
  <conditionalFormatting sqref="B8">
    <cfRule type="expression" dxfId="213" priority="18">
      <formula>$B$3&lt;14</formula>
    </cfRule>
    <cfRule type="expression" dxfId="212" priority="19">
      <formula>$B$6="pregnant"</formula>
    </cfRule>
  </conditionalFormatting>
  <conditionalFormatting sqref="B9">
    <cfRule type="expression" dxfId="211" priority="15">
      <formula>$B$3&lt;14</formula>
    </cfRule>
    <cfRule type="expression" dxfId="210" priority="16">
      <formula>$B$6="lactating"</formula>
    </cfRule>
  </conditionalFormatting>
  <conditionalFormatting sqref="A11">
    <cfRule type="expression" dxfId="209" priority="14">
      <formula>$B$3&lt;19</formula>
    </cfRule>
  </conditionalFormatting>
  <conditionalFormatting sqref="A12">
    <cfRule type="expression" dxfId="208" priority="12">
      <formula>$B$3&lt;14</formula>
    </cfRule>
  </conditionalFormatting>
  <conditionalFormatting sqref="B12">
    <cfRule type="expression" dxfId="207" priority="11">
      <formula>$B$3&lt;14</formula>
    </cfRule>
  </conditionalFormatting>
  <conditionalFormatting sqref="C10">
    <cfRule type="expression" dxfId="206" priority="7">
      <formula>$B$3&lt;3</formula>
    </cfRule>
    <cfRule type="expression" dxfId="205" priority="8">
      <formula>$B$3&gt;=19</formula>
    </cfRule>
  </conditionalFormatting>
  <conditionalFormatting sqref="C11">
    <cfRule type="expression" dxfId="204" priority="3">
      <formula>$B$3&lt;19</formula>
    </cfRule>
  </conditionalFormatting>
  <conditionalFormatting sqref="C12">
    <cfRule type="expression" dxfId="203" priority="2">
      <formula>$B$3&lt;14</formula>
    </cfRule>
  </conditionalFormatting>
  <conditionalFormatting sqref="D12">
    <cfRule type="expression" dxfId="202" priority="1">
      <formula>$B$3&lt;14</formula>
    </cfRule>
  </conditionalFormatting>
  <dataValidations xWindow="291" yWindow="376" count="2">
    <dataValidation type="list" allowBlank="1" showInputMessage="1" promptTitle="choose" prompt="choose" sqref="B7" xr:uid="{00000000-0002-0000-0300-000000000000}">
      <formula1>INDIRECT($B$6)</formula1>
    </dataValidation>
    <dataValidation type="list" allowBlank="1" showInputMessage="1" showErrorMessage="1" sqref="B2" xr:uid="{00000000-0002-0000-0300-000001000000}">
      <formula1>"NO,YES"</formula1>
    </dataValidation>
  </dataValidations>
  <pageMargins left="0.25" right="0.25" top="0.75" bottom="0.75" header="0.3" footer="0.3"/>
  <pageSetup paperSize="9"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3">
                <anchor moveWithCells="1" sizeWithCells="1">
                  <from>
                    <xdr:col>3</xdr:col>
                    <xdr:colOff>335280</xdr:colOff>
                    <xdr:row>5</xdr:row>
                    <xdr:rowOff>152400</xdr:rowOff>
                  </from>
                  <to>
                    <xdr:col>3</xdr:col>
                    <xdr:colOff>1051560</xdr:colOff>
                    <xdr:row>7</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91" yWindow="376" count="1">
        <x14:dataValidation type="list" allowBlank="1" showInputMessage="1" showErrorMessage="1" xr:uid="{00000000-0002-0000-0300-000002000000}">
          <x14:formula1>
            <xm:f>'target weight'!$H$3:$K$3</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5">
    <pageSetUpPr fitToPage="1"/>
  </sheetPr>
  <dimension ref="A1:X101"/>
  <sheetViews>
    <sheetView zoomScale="73" zoomScaleNormal="100" workbookViewId="0">
      <selection activeCell="C14" sqref="C14"/>
    </sheetView>
  </sheetViews>
  <sheetFormatPr defaultColWidth="14.44140625" defaultRowHeight="15" customHeight="1"/>
  <cols>
    <col min="1" max="1" width="19.44140625" customWidth="1"/>
    <col min="2" max="2" width="19.44140625" style="118" customWidth="1"/>
    <col min="3" max="3" width="12.33203125" customWidth="1"/>
    <col min="4" max="4" width="13.6640625" customWidth="1"/>
    <col min="5" max="5" width="11.88671875" customWidth="1"/>
    <col min="6" max="6" width="12.44140625" customWidth="1"/>
    <col min="7" max="7" width="13.33203125" customWidth="1"/>
    <col min="8" max="8" width="17.44140625" customWidth="1"/>
    <col min="9" max="9" width="7.5546875" customWidth="1"/>
    <col min="10" max="10" width="2.88671875" customWidth="1"/>
    <col min="11" max="11" width="11.5546875" customWidth="1"/>
    <col min="12" max="13" width="10.44140625" customWidth="1"/>
  </cols>
  <sheetData>
    <row r="1" spans="1:24" ht="19.5" customHeight="1">
      <c r="A1" s="392" t="s">
        <v>19</v>
      </c>
      <c r="B1" s="394" t="s">
        <v>20</v>
      </c>
      <c r="C1" s="394" t="s">
        <v>21</v>
      </c>
      <c r="D1" s="394" t="s">
        <v>22</v>
      </c>
      <c r="E1" s="394" t="s">
        <v>23</v>
      </c>
      <c r="F1" s="394" t="s">
        <v>24</v>
      </c>
      <c r="G1" s="394" t="s">
        <v>25</v>
      </c>
      <c r="H1" s="394" t="s">
        <v>26</v>
      </c>
      <c r="I1" s="390" t="s">
        <v>238</v>
      </c>
      <c r="J1" s="391"/>
      <c r="K1" s="391"/>
      <c r="L1" s="94"/>
    </row>
    <row r="2" spans="1:24" ht="15" customHeight="1">
      <c r="A2" s="393"/>
      <c r="B2" s="395"/>
      <c r="C2" s="396"/>
      <c r="D2" s="396"/>
      <c r="E2" s="395"/>
      <c r="F2" s="395"/>
      <c r="G2" s="395"/>
      <c r="H2" s="395"/>
      <c r="I2" s="397" t="s">
        <v>239</v>
      </c>
      <c r="J2" s="398"/>
      <c r="K2" s="82" t="s">
        <v>240</v>
      </c>
      <c r="L2" s="94"/>
    </row>
    <row r="3" spans="1:24" ht="15.75" customHeight="1">
      <c r="A3" s="370" t="s">
        <v>27</v>
      </c>
      <c r="B3" s="224" t="s">
        <v>28</v>
      </c>
      <c r="C3" s="180">
        <v>13</v>
      </c>
      <c r="D3" s="86">
        <f>C3*3</f>
        <v>39</v>
      </c>
      <c r="E3" s="224">
        <f>C3*0.5</f>
        <v>6.5</v>
      </c>
      <c r="F3" s="224">
        <f t="shared" ref="F3:F4" si="0">SUM(C3*0)</f>
        <v>0</v>
      </c>
      <c r="G3" s="224">
        <f t="shared" ref="G3:G4" si="1">C3*15</f>
        <v>195</v>
      </c>
      <c r="H3" s="224">
        <f>SUM((C3*80))</f>
        <v>1040</v>
      </c>
      <c r="I3" s="403">
        <v>6</v>
      </c>
      <c r="J3" s="409" t="s">
        <v>246</v>
      </c>
      <c r="K3" s="406" t="s">
        <v>242</v>
      </c>
      <c r="L3" s="399" t="s">
        <v>244</v>
      </c>
      <c r="M3" s="400"/>
    </row>
    <row r="4" spans="1:24" ht="15.75" customHeight="1">
      <c r="A4" s="371"/>
      <c r="B4" s="84" t="s">
        <v>29</v>
      </c>
      <c r="C4" s="180">
        <v>1</v>
      </c>
      <c r="D4" s="86">
        <f>C4*10</f>
        <v>10</v>
      </c>
      <c r="E4" s="84">
        <f>C4*2</f>
        <v>2</v>
      </c>
      <c r="F4" s="85">
        <f t="shared" si="0"/>
        <v>0</v>
      </c>
      <c r="G4" s="85">
        <f t="shared" si="1"/>
        <v>15</v>
      </c>
      <c r="H4" s="84">
        <f>SUM((C4*118))</f>
        <v>118</v>
      </c>
      <c r="I4" s="405"/>
      <c r="J4" s="410"/>
      <c r="K4" s="408"/>
      <c r="L4" s="401"/>
      <c r="M4" s="402"/>
    </row>
    <row r="5" spans="1:24" ht="21" customHeight="1">
      <c r="A5" s="382" t="s">
        <v>30</v>
      </c>
      <c r="B5" s="87" t="s">
        <v>31</v>
      </c>
      <c r="C5" s="180">
        <v>2</v>
      </c>
      <c r="D5" s="89">
        <f t="shared" ref="D5:D7" si="2">C5*8</f>
        <v>16</v>
      </c>
      <c r="E5" s="88">
        <f>C5*1.5</f>
        <v>3</v>
      </c>
      <c r="F5" s="90">
        <f t="shared" ref="F5:F7" si="3">SUM(C5*6)</f>
        <v>12</v>
      </c>
      <c r="G5" s="90">
        <f t="shared" ref="G5:G7" si="4">C5*6</f>
        <v>12</v>
      </c>
      <c r="H5" s="88">
        <f>SUM(C5*107)</f>
        <v>214</v>
      </c>
      <c r="I5" s="403">
        <v>2</v>
      </c>
      <c r="J5" s="409" t="s">
        <v>246</v>
      </c>
      <c r="K5" s="406">
        <v>3</v>
      </c>
      <c r="L5" s="83"/>
    </row>
    <row r="6" spans="1:24" ht="15.75" customHeight="1">
      <c r="A6" s="383"/>
      <c r="B6" s="87" t="s">
        <v>32</v>
      </c>
      <c r="C6" s="180"/>
      <c r="D6" s="92">
        <f t="shared" si="2"/>
        <v>0</v>
      </c>
      <c r="E6" s="91">
        <f>C6*5</f>
        <v>0</v>
      </c>
      <c r="F6" s="93">
        <f t="shared" si="3"/>
        <v>0</v>
      </c>
      <c r="G6" s="93">
        <f t="shared" si="4"/>
        <v>0</v>
      </c>
      <c r="H6" s="93">
        <f>SUM(C6*125)</f>
        <v>0</v>
      </c>
      <c r="I6" s="404"/>
      <c r="J6" s="411"/>
      <c r="K6" s="407"/>
      <c r="L6" s="83"/>
    </row>
    <row r="7" spans="1:24" ht="15.75" customHeight="1">
      <c r="A7" s="384"/>
      <c r="B7" s="87" t="s">
        <v>33</v>
      </c>
      <c r="C7" s="180"/>
      <c r="D7" s="96">
        <f t="shared" si="2"/>
        <v>0</v>
      </c>
      <c r="E7" s="95">
        <f>C7*8</f>
        <v>0</v>
      </c>
      <c r="F7" s="97">
        <f t="shared" si="3"/>
        <v>0</v>
      </c>
      <c r="G7" s="97">
        <f t="shared" si="4"/>
        <v>0</v>
      </c>
      <c r="H7" s="95">
        <f>SUM(C7*152)</f>
        <v>0</v>
      </c>
      <c r="I7" s="405"/>
      <c r="J7" s="410"/>
      <c r="K7" s="408"/>
      <c r="L7" s="83"/>
    </row>
    <row r="8" spans="1:24" ht="15.75" customHeight="1">
      <c r="A8" s="385" t="s">
        <v>34</v>
      </c>
      <c r="B8" s="98" t="s">
        <v>35</v>
      </c>
      <c r="C8" s="180">
        <v>3</v>
      </c>
      <c r="D8" s="86">
        <f t="shared" ref="D8:D10" si="5">C8*7</f>
        <v>21</v>
      </c>
      <c r="E8" s="84">
        <f>C8*3</f>
        <v>9</v>
      </c>
      <c r="F8" s="85">
        <f t="shared" ref="F8:F10" si="6">SUM(C8*0)</f>
        <v>0</v>
      </c>
      <c r="G8" s="85">
        <f t="shared" ref="G8:G10" si="7">C8*0</f>
        <v>0</v>
      </c>
      <c r="H8" s="86">
        <f>SUM(C8*55)</f>
        <v>165</v>
      </c>
      <c r="I8" s="403">
        <v>3</v>
      </c>
      <c r="J8" s="409" t="s">
        <v>246</v>
      </c>
      <c r="K8" s="406">
        <v>5</v>
      </c>
      <c r="L8" s="83"/>
    </row>
    <row r="9" spans="1:24" ht="15.75" customHeight="1">
      <c r="A9" s="386"/>
      <c r="B9" s="84" t="s">
        <v>32</v>
      </c>
      <c r="C9" s="180"/>
      <c r="D9" s="86">
        <f t="shared" si="5"/>
        <v>0</v>
      </c>
      <c r="E9" s="84">
        <f>C9*5</f>
        <v>0</v>
      </c>
      <c r="F9" s="85">
        <f t="shared" si="6"/>
        <v>0</v>
      </c>
      <c r="G9" s="85">
        <f t="shared" si="7"/>
        <v>0</v>
      </c>
      <c r="H9" s="86">
        <f>SUM(C9*73)</f>
        <v>0</v>
      </c>
      <c r="I9" s="404"/>
      <c r="J9" s="411"/>
      <c r="K9" s="407"/>
      <c r="L9" s="83"/>
    </row>
    <row r="10" spans="1:24" ht="15.75" customHeight="1">
      <c r="A10" s="387"/>
      <c r="B10" s="98" t="s">
        <v>36</v>
      </c>
      <c r="C10" s="180"/>
      <c r="D10" s="86">
        <f t="shared" si="5"/>
        <v>0</v>
      </c>
      <c r="E10" s="84">
        <f>C10*8</f>
        <v>0</v>
      </c>
      <c r="F10" s="85">
        <f t="shared" si="6"/>
        <v>0</v>
      </c>
      <c r="G10" s="85">
        <f t="shared" si="7"/>
        <v>0</v>
      </c>
      <c r="H10" s="99">
        <f>SUM(C10*100)</f>
        <v>0</v>
      </c>
      <c r="I10" s="405"/>
      <c r="J10" s="410"/>
      <c r="K10" s="408"/>
      <c r="L10" s="83"/>
    </row>
    <row r="11" spans="1:24" ht="20.25" customHeight="1">
      <c r="A11" s="374" t="s">
        <v>37</v>
      </c>
      <c r="B11" s="377"/>
      <c r="C11" s="180">
        <v>0</v>
      </c>
      <c r="D11" s="101">
        <f>C11*0</f>
        <v>0</v>
      </c>
      <c r="E11" s="100">
        <f t="shared" ref="E11:E13" si="8">C11*0</f>
        <v>0</v>
      </c>
      <c r="F11" s="102">
        <f>SUM(C11*7.5)</f>
        <v>0</v>
      </c>
      <c r="G11" s="102">
        <f>C11*7.5</f>
        <v>0</v>
      </c>
      <c r="H11" s="102">
        <f>SUM(C11*60)</f>
        <v>0</v>
      </c>
      <c r="I11" s="259">
        <v>0</v>
      </c>
      <c r="J11" s="261" t="s">
        <v>246</v>
      </c>
      <c r="K11" s="260">
        <v>3</v>
      </c>
      <c r="L11" s="83"/>
    </row>
    <row r="12" spans="1:24" ht="15.75" customHeight="1">
      <c r="A12" s="103" t="s">
        <v>38</v>
      </c>
      <c r="B12" s="99" t="s">
        <v>39</v>
      </c>
      <c r="C12" s="180">
        <v>3</v>
      </c>
      <c r="D12" s="86">
        <f>C12*2</f>
        <v>6</v>
      </c>
      <c r="E12" s="84">
        <f t="shared" si="8"/>
        <v>0</v>
      </c>
      <c r="F12" s="85">
        <f>SUM(C12*2.5)</f>
        <v>7.5</v>
      </c>
      <c r="G12" s="85">
        <f>C12*2.5</f>
        <v>7.5</v>
      </c>
      <c r="H12" s="86">
        <f>SUM(C12*25)</f>
        <v>75</v>
      </c>
      <c r="I12" s="259">
        <v>3</v>
      </c>
      <c r="J12" s="261" t="s">
        <v>246</v>
      </c>
      <c r="K12" s="260" t="s">
        <v>241</v>
      </c>
      <c r="L12" s="83"/>
    </row>
    <row r="13" spans="1:24" ht="15.75" customHeight="1">
      <c r="A13" s="374" t="s">
        <v>40</v>
      </c>
      <c r="B13" s="377"/>
      <c r="C13" s="180">
        <v>10</v>
      </c>
      <c r="D13" s="101">
        <f t="shared" ref="D13:D15" si="9">C13*0</f>
        <v>0</v>
      </c>
      <c r="E13" s="100">
        <f t="shared" si="8"/>
        <v>0</v>
      </c>
      <c r="F13" s="102">
        <f>SUM(C13*(15*0.75))</f>
        <v>112.5</v>
      </c>
      <c r="G13" s="102">
        <f>C13*(15*0.25)</f>
        <v>37.5</v>
      </c>
      <c r="H13" s="102">
        <f>SUM(C13*60)</f>
        <v>600</v>
      </c>
      <c r="I13" s="259">
        <v>0</v>
      </c>
      <c r="J13" s="261" t="s">
        <v>246</v>
      </c>
      <c r="K13" s="260">
        <v>20</v>
      </c>
      <c r="L13" s="28"/>
      <c r="M13" s="28"/>
      <c r="N13" s="28"/>
      <c r="O13" s="28"/>
      <c r="P13" s="28"/>
      <c r="Q13" s="28"/>
      <c r="R13" s="28"/>
      <c r="S13" s="28"/>
      <c r="T13" s="28"/>
      <c r="U13" s="28"/>
      <c r="V13" s="28"/>
      <c r="W13" s="28"/>
      <c r="X13" s="28"/>
    </row>
    <row r="14" spans="1:24" s="104" customFormat="1" ht="15.75" customHeight="1">
      <c r="A14" s="372" t="s">
        <v>41</v>
      </c>
      <c r="B14" s="376"/>
      <c r="C14" s="223">
        <v>7.5</v>
      </c>
      <c r="D14" s="86">
        <f t="shared" si="9"/>
        <v>0</v>
      </c>
      <c r="E14" s="84">
        <f>C14*5</f>
        <v>37.5</v>
      </c>
      <c r="F14" s="85">
        <f>SUM(C14*0)</f>
        <v>0</v>
      </c>
      <c r="G14" s="85">
        <f>C14*0</f>
        <v>0</v>
      </c>
      <c r="H14" s="86">
        <f>SUM(C14*45)</f>
        <v>337.5</v>
      </c>
      <c r="I14" s="259">
        <v>0</v>
      </c>
      <c r="J14" s="261" t="s">
        <v>246</v>
      </c>
      <c r="K14" s="260" t="s">
        <v>243</v>
      </c>
      <c r="L14" s="28"/>
      <c r="M14" s="28"/>
      <c r="N14" s="28"/>
      <c r="O14" s="28"/>
      <c r="P14" s="28"/>
      <c r="Q14" s="28"/>
      <c r="R14" s="28"/>
      <c r="S14" s="28"/>
      <c r="T14" s="28"/>
      <c r="U14" s="28"/>
      <c r="V14" s="28"/>
      <c r="W14" s="28"/>
      <c r="X14" s="28"/>
    </row>
    <row r="15" spans="1:24" ht="15.75" customHeight="1">
      <c r="A15" s="374" t="s">
        <v>42</v>
      </c>
      <c r="B15" s="375"/>
      <c r="C15" s="223">
        <v>0</v>
      </c>
      <c r="D15" s="101">
        <f t="shared" si="9"/>
        <v>0</v>
      </c>
      <c r="E15" s="100">
        <f>C15*0</f>
        <v>0</v>
      </c>
      <c r="F15" s="102">
        <f>SUM(C15*2.5)</f>
        <v>0</v>
      </c>
      <c r="G15" s="102">
        <f>C15*2.5</f>
        <v>0</v>
      </c>
      <c r="H15" s="102">
        <f>SUM(C15*20)</f>
        <v>0</v>
      </c>
      <c r="I15" s="259">
        <v>0</v>
      </c>
      <c r="J15" s="261" t="s">
        <v>246</v>
      </c>
      <c r="K15" s="260">
        <v>3</v>
      </c>
      <c r="L15" s="28"/>
      <c r="M15" s="28"/>
      <c r="N15" s="28"/>
      <c r="O15" s="28"/>
      <c r="P15" s="28"/>
      <c r="Q15" s="28"/>
      <c r="R15" s="28"/>
      <c r="S15" s="28"/>
      <c r="T15" s="28"/>
      <c r="U15" s="28"/>
      <c r="V15" s="28"/>
      <c r="W15" s="28"/>
      <c r="X15" s="28"/>
    </row>
    <row r="16" spans="1:24" ht="15.75" customHeight="1">
      <c r="A16" s="372" t="s">
        <v>43</v>
      </c>
      <c r="B16" s="373"/>
      <c r="C16" s="98">
        <v>0</v>
      </c>
      <c r="D16" s="98">
        <f t="shared" ref="D16:H16" si="10">SUM(D3:D15)</f>
        <v>92</v>
      </c>
      <c r="E16" s="184">
        <f t="shared" si="10"/>
        <v>58</v>
      </c>
      <c r="F16" s="105">
        <f t="shared" si="10"/>
        <v>132</v>
      </c>
      <c r="G16" s="98">
        <f t="shared" si="10"/>
        <v>267</v>
      </c>
      <c r="H16" s="98">
        <f t="shared" si="10"/>
        <v>2549.5</v>
      </c>
      <c r="I16" s="83"/>
      <c r="J16" s="83"/>
      <c r="K16" s="83"/>
      <c r="L16" s="83"/>
    </row>
    <row r="17" spans="1:12" ht="15.75" customHeight="1">
      <c r="A17" s="372" t="s">
        <v>44</v>
      </c>
      <c r="B17" s="373"/>
      <c r="C17" s="98">
        <v>0</v>
      </c>
      <c r="D17" s="106">
        <f>Formula!C15</f>
        <v>91.585920000000002</v>
      </c>
      <c r="E17" s="107">
        <f>Formula!C16</f>
        <v>57.654340837333351</v>
      </c>
      <c r="F17" s="108">
        <f>Formula!C17/3</f>
        <v>132.13896450533335</v>
      </c>
      <c r="G17" s="108">
        <f>Formula!C17*(2/3)</f>
        <v>264.2779290106667</v>
      </c>
      <c r="H17" s="108">
        <f>Formula!C14</f>
        <v>2470.9003216000006</v>
      </c>
      <c r="I17" s="83"/>
      <c r="J17" s="83"/>
      <c r="K17" s="83"/>
      <c r="L17" s="83"/>
    </row>
    <row r="18" spans="1:12" ht="15.75" customHeight="1">
      <c r="A18" s="372" t="s">
        <v>45</v>
      </c>
      <c r="B18" s="373"/>
      <c r="C18" s="109">
        <v>0</v>
      </c>
      <c r="D18" s="110">
        <f>D16-D17</f>
        <v>0.41407999999999845</v>
      </c>
      <c r="E18" s="111">
        <f t="shared" ref="E18:H18" si="11">E16-E17</f>
        <v>0.34565916266664942</v>
      </c>
      <c r="F18" s="110">
        <f t="shared" si="11"/>
        <v>-0.13896450533334814</v>
      </c>
      <c r="G18" s="112">
        <f t="shared" si="11"/>
        <v>2.7220709893333037</v>
      </c>
      <c r="H18" s="113">
        <f t="shared" si="11"/>
        <v>78.599678399999448</v>
      </c>
      <c r="I18" s="94"/>
      <c r="J18" s="225"/>
      <c r="K18" s="83"/>
      <c r="L18" s="83"/>
    </row>
    <row r="19" spans="1:12" ht="15.75" customHeight="1">
      <c r="A19" s="380" t="s">
        <v>177</v>
      </c>
      <c r="B19" s="381"/>
      <c r="C19" s="381"/>
      <c r="D19" s="381"/>
      <c r="E19" s="114"/>
      <c r="F19" s="388">
        <f>SUM(F18+G18)</f>
        <v>2.5831064839999556</v>
      </c>
      <c r="G19" s="389"/>
      <c r="H19" s="115"/>
      <c r="I19" s="83"/>
      <c r="J19" s="83"/>
      <c r="K19" s="83"/>
      <c r="L19" s="83"/>
    </row>
    <row r="20" spans="1:12" ht="15.75" customHeight="1">
      <c r="A20" s="378" t="s">
        <v>100</v>
      </c>
      <c r="B20" s="379"/>
      <c r="C20" s="379"/>
      <c r="D20" s="379"/>
      <c r="E20" s="379"/>
      <c r="F20" s="379"/>
      <c r="G20" s="379"/>
      <c r="H20" s="116"/>
      <c r="I20" s="83"/>
      <c r="J20" s="83"/>
      <c r="K20" s="83"/>
      <c r="L20" s="83"/>
    </row>
    <row r="21" spans="1:12" ht="15.75" customHeight="1">
      <c r="A21" s="117"/>
      <c r="B21" s="117"/>
      <c r="C21" s="117"/>
      <c r="D21" s="117"/>
      <c r="E21" s="117"/>
      <c r="F21" s="116"/>
      <c r="G21" s="116"/>
      <c r="H21" s="116"/>
      <c r="I21" s="83"/>
      <c r="J21" s="83"/>
      <c r="K21" s="83"/>
      <c r="L21" s="83"/>
    </row>
    <row r="22" spans="1:12" ht="15.75" customHeight="1">
      <c r="A22" s="83"/>
      <c r="B22" s="116"/>
      <c r="C22" s="116"/>
      <c r="D22" s="116"/>
      <c r="E22" s="116"/>
      <c r="F22" s="116"/>
      <c r="G22" s="116"/>
      <c r="H22" s="116"/>
      <c r="I22" s="83"/>
      <c r="J22" s="83"/>
      <c r="K22" s="83"/>
      <c r="L22" s="83"/>
    </row>
    <row r="23" spans="1:12" ht="15.75" customHeight="1">
      <c r="A23" s="83"/>
      <c r="B23" s="116"/>
      <c r="C23" s="116"/>
      <c r="D23" s="116"/>
      <c r="E23" s="116"/>
      <c r="F23" s="116"/>
      <c r="G23" s="116"/>
      <c r="H23" s="116"/>
      <c r="I23" s="83"/>
      <c r="J23" s="83"/>
      <c r="K23" s="83"/>
      <c r="L23" s="83"/>
    </row>
    <row r="24" spans="1:12" ht="15.75" customHeight="1">
      <c r="A24" s="83"/>
      <c r="B24" s="116"/>
      <c r="C24" s="116"/>
      <c r="D24" s="116"/>
      <c r="E24" s="116"/>
      <c r="F24" s="116"/>
      <c r="G24" s="116"/>
      <c r="H24" s="116"/>
      <c r="I24" s="83"/>
      <c r="J24" s="83"/>
      <c r="K24" s="83"/>
      <c r="L24" s="83"/>
    </row>
    <row r="25" spans="1:12" ht="15.75" customHeight="1">
      <c r="A25" s="83"/>
      <c r="B25" s="116"/>
      <c r="C25" s="116"/>
      <c r="D25" s="116"/>
      <c r="E25" s="116"/>
      <c r="F25" s="116"/>
      <c r="G25" s="116"/>
      <c r="H25" s="116"/>
      <c r="I25" s="83"/>
      <c r="J25" s="83"/>
      <c r="K25" s="83"/>
      <c r="L25" s="83"/>
    </row>
    <row r="26" spans="1:12" ht="15.75" customHeight="1">
      <c r="A26" s="83"/>
      <c r="B26" s="116"/>
      <c r="C26" s="116"/>
      <c r="D26" s="116"/>
      <c r="E26" s="116"/>
      <c r="F26" s="116"/>
      <c r="G26" s="116"/>
      <c r="H26" s="116"/>
      <c r="I26" s="83"/>
      <c r="J26" s="83"/>
      <c r="K26" s="83"/>
      <c r="L26" s="83"/>
    </row>
    <row r="27" spans="1:12" ht="15.75" customHeight="1">
      <c r="A27" s="83"/>
      <c r="B27" s="116"/>
      <c r="C27" s="116"/>
      <c r="D27" s="116"/>
      <c r="E27" s="116"/>
      <c r="F27" s="116"/>
      <c r="G27" s="116"/>
      <c r="H27" s="116"/>
      <c r="I27" s="83"/>
      <c r="J27" s="83"/>
      <c r="K27" s="83"/>
      <c r="L27" s="83"/>
    </row>
    <row r="28" spans="1:12" ht="15.75" customHeight="1">
      <c r="A28" s="83"/>
      <c r="B28" s="116"/>
      <c r="C28" s="116"/>
      <c r="D28" s="116"/>
      <c r="E28" s="116"/>
      <c r="F28" s="116"/>
      <c r="G28" s="116"/>
      <c r="H28" s="116"/>
      <c r="I28" s="83"/>
      <c r="J28" s="83"/>
      <c r="K28" s="83"/>
      <c r="L28" s="83"/>
    </row>
    <row r="29" spans="1:12" ht="15.75" customHeight="1">
      <c r="A29" s="83"/>
      <c r="B29" s="116"/>
      <c r="C29" s="116"/>
      <c r="D29" s="116"/>
      <c r="E29" s="116"/>
      <c r="F29" s="116"/>
      <c r="G29" s="116"/>
      <c r="H29" s="116"/>
      <c r="I29" s="83"/>
      <c r="J29" s="83"/>
      <c r="K29" s="83"/>
      <c r="L29" s="83"/>
    </row>
    <row r="30" spans="1:12" ht="15.75" customHeight="1">
      <c r="A30" s="83"/>
      <c r="B30" s="116"/>
      <c r="C30" s="116"/>
      <c r="D30" s="116"/>
      <c r="E30" s="116"/>
      <c r="F30" s="116"/>
      <c r="G30" s="116"/>
      <c r="H30" s="116"/>
      <c r="I30" s="83"/>
      <c r="J30" s="83"/>
      <c r="K30" s="83"/>
      <c r="L30" s="83"/>
    </row>
    <row r="31" spans="1:12" ht="15.75" customHeight="1">
      <c r="A31" s="83"/>
      <c r="B31" s="116"/>
      <c r="C31" s="116"/>
      <c r="D31" s="116"/>
      <c r="E31" s="116"/>
      <c r="F31" s="116"/>
      <c r="G31" s="116"/>
      <c r="H31" s="116"/>
      <c r="I31" s="83"/>
      <c r="J31" s="83"/>
      <c r="K31" s="83"/>
      <c r="L31" s="83"/>
    </row>
    <row r="32" spans="1:12" ht="15.75" customHeight="1">
      <c r="A32" s="83"/>
      <c r="B32" s="116"/>
      <c r="C32" s="116"/>
      <c r="D32" s="116"/>
      <c r="E32" s="116"/>
      <c r="F32" s="116"/>
      <c r="G32" s="116"/>
      <c r="H32" s="116"/>
      <c r="I32" s="83"/>
      <c r="J32" s="83"/>
      <c r="K32" s="83"/>
      <c r="L32" s="83"/>
    </row>
    <row r="33" spans="1:12" ht="15.75" customHeight="1">
      <c r="A33" s="83"/>
      <c r="B33" s="116"/>
      <c r="C33" s="116"/>
      <c r="D33" s="116"/>
      <c r="E33" s="116"/>
      <c r="F33" s="116"/>
      <c r="G33" s="116"/>
      <c r="H33" s="116"/>
      <c r="I33" s="83"/>
      <c r="J33" s="83"/>
      <c r="K33" s="83"/>
      <c r="L33" s="83"/>
    </row>
    <row r="34" spans="1:12" ht="15.75" customHeight="1">
      <c r="A34" s="83"/>
      <c r="B34" s="116"/>
      <c r="C34" s="116"/>
      <c r="D34" s="116"/>
      <c r="E34" s="116"/>
      <c r="F34" s="116"/>
      <c r="G34" s="116"/>
      <c r="H34" s="116"/>
      <c r="I34" s="83"/>
      <c r="J34" s="83"/>
      <c r="K34" s="83"/>
      <c r="L34" s="83"/>
    </row>
    <row r="35" spans="1:12" ht="15.75" customHeight="1">
      <c r="A35" s="83"/>
      <c r="B35" s="116"/>
      <c r="C35" s="116"/>
      <c r="D35" s="116"/>
      <c r="E35" s="116"/>
      <c r="F35" s="116"/>
      <c r="G35" s="116"/>
      <c r="H35" s="116"/>
      <c r="I35" s="83"/>
      <c r="J35" s="83"/>
      <c r="K35" s="83"/>
      <c r="L35" s="83"/>
    </row>
    <row r="36" spans="1:12" ht="15.75" customHeight="1">
      <c r="A36" s="83"/>
      <c r="B36" s="116"/>
      <c r="C36" s="116"/>
      <c r="D36" s="116"/>
      <c r="E36" s="116"/>
      <c r="F36" s="116"/>
      <c r="G36" s="116"/>
      <c r="H36" s="116"/>
      <c r="I36" s="83"/>
      <c r="J36" s="83"/>
      <c r="K36" s="83"/>
      <c r="L36" s="83"/>
    </row>
    <row r="37" spans="1:12" ht="15.75" customHeight="1">
      <c r="A37" s="83"/>
      <c r="B37" s="116"/>
      <c r="C37" s="116"/>
      <c r="D37" s="116"/>
      <c r="E37" s="116"/>
      <c r="F37" s="116"/>
      <c r="G37" s="116"/>
      <c r="H37" s="116"/>
      <c r="I37" s="83"/>
      <c r="J37" s="83"/>
      <c r="K37" s="83"/>
      <c r="L37" s="83"/>
    </row>
    <row r="38" spans="1:12" ht="15.75" customHeight="1">
      <c r="A38" s="83"/>
      <c r="B38" s="116"/>
      <c r="C38" s="116"/>
      <c r="D38" s="116"/>
      <c r="E38" s="116"/>
      <c r="F38" s="116"/>
      <c r="G38" s="116"/>
      <c r="H38" s="116"/>
      <c r="I38" s="83"/>
      <c r="J38" s="83"/>
      <c r="K38" s="83"/>
      <c r="L38" s="83"/>
    </row>
    <row r="39" spans="1:12" ht="15.75" customHeight="1">
      <c r="A39" s="83"/>
      <c r="B39" s="116"/>
      <c r="C39" s="116"/>
      <c r="D39" s="116"/>
      <c r="E39" s="116"/>
      <c r="F39" s="116"/>
      <c r="G39" s="116"/>
      <c r="H39" s="116"/>
      <c r="I39" s="83"/>
      <c r="J39" s="83"/>
      <c r="K39" s="83"/>
      <c r="L39" s="83"/>
    </row>
    <row r="40" spans="1:12" ht="15.75" customHeight="1">
      <c r="A40" s="83"/>
      <c r="B40" s="116"/>
      <c r="C40" s="116"/>
      <c r="D40" s="116"/>
      <c r="E40" s="116"/>
      <c r="F40" s="116"/>
      <c r="G40" s="116"/>
      <c r="H40" s="116"/>
      <c r="I40" s="83"/>
      <c r="J40" s="83"/>
      <c r="K40" s="83"/>
      <c r="L40" s="83"/>
    </row>
    <row r="41" spans="1:12" ht="15.75" customHeight="1">
      <c r="A41" s="83"/>
      <c r="B41" s="116"/>
      <c r="C41" s="116"/>
      <c r="D41" s="116"/>
      <c r="E41" s="116"/>
      <c r="F41" s="116"/>
      <c r="G41" s="116"/>
      <c r="H41" s="116"/>
      <c r="I41" s="83"/>
      <c r="J41" s="83"/>
      <c r="K41" s="83"/>
      <c r="L41" s="83"/>
    </row>
    <row r="42" spans="1:12" ht="15.75" customHeight="1">
      <c r="A42" s="83"/>
      <c r="B42" s="116"/>
      <c r="C42" s="116"/>
      <c r="D42" s="116"/>
      <c r="E42" s="116"/>
      <c r="F42" s="116"/>
      <c r="G42" s="116"/>
      <c r="H42" s="116"/>
      <c r="I42" s="83"/>
      <c r="J42" s="83"/>
      <c r="K42" s="83"/>
      <c r="L42" s="83"/>
    </row>
    <row r="43" spans="1:12" ht="15.75" customHeight="1">
      <c r="A43" s="83"/>
      <c r="B43" s="116"/>
      <c r="C43" s="116"/>
      <c r="D43" s="116"/>
      <c r="E43" s="116"/>
      <c r="F43" s="116"/>
      <c r="G43" s="116"/>
      <c r="H43" s="116"/>
      <c r="I43" s="83"/>
      <c r="J43" s="83"/>
      <c r="K43" s="83"/>
      <c r="L43" s="83"/>
    </row>
    <row r="44" spans="1:12" ht="15.75" customHeight="1">
      <c r="A44" s="83"/>
      <c r="B44" s="116"/>
      <c r="C44" s="116"/>
      <c r="D44" s="116"/>
      <c r="E44" s="116"/>
      <c r="F44" s="116"/>
      <c r="G44" s="116"/>
      <c r="H44" s="116"/>
      <c r="I44" s="83"/>
      <c r="J44" s="83"/>
      <c r="K44" s="83"/>
      <c r="L44" s="83"/>
    </row>
    <row r="45" spans="1:12" ht="15.75" customHeight="1">
      <c r="A45" s="83"/>
      <c r="B45" s="116"/>
      <c r="C45" s="116"/>
      <c r="D45" s="116"/>
      <c r="E45" s="116"/>
      <c r="F45" s="116"/>
      <c r="G45" s="116"/>
      <c r="H45" s="116"/>
      <c r="I45" s="83"/>
      <c r="J45" s="83"/>
      <c r="K45" s="83"/>
      <c r="L45" s="83"/>
    </row>
    <row r="46" spans="1:12" ht="15.75" customHeight="1">
      <c r="A46" s="83"/>
      <c r="B46" s="116"/>
      <c r="C46" s="116"/>
      <c r="D46" s="116"/>
      <c r="E46" s="116"/>
      <c r="F46" s="116"/>
      <c r="G46" s="116"/>
      <c r="H46" s="116"/>
      <c r="I46" s="83"/>
      <c r="J46" s="83"/>
      <c r="K46" s="83"/>
      <c r="L46" s="83"/>
    </row>
    <row r="47" spans="1:12" ht="15.75" customHeight="1">
      <c r="A47" s="83"/>
      <c r="B47" s="116"/>
      <c r="C47" s="116"/>
      <c r="D47" s="116"/>
      <c r="E47" s="116"/>
      <c r="F47" s="116"/>
      <c r="G47" s="116"/>
      <c r="H47" s="116"/>
      <c r="I47" s="83"/>
      <c r="J47" s="83"/>
      <c r="K47" s="83"/>
      <c r="L47" s="83"/>
    </row>
    <row r="48" spans="1:12" ht="15.75" customHeight="1">
      <c r="A48" s="83"/>
      <c r="B48" s="116"/>
      <c r="C48" s="116"/>
      <c r="D48" s="116"/>
      <c r="E48" s="116"/>
      <c r="F48" s="116"/>
      <c r="G48" s="116"/>
      <c r="H48" s="116"/>
      <c r="I48" s="83"/>
      <c r="J48" s="83"/>
      <c r="K48" s="83"/>
      <c r="L48" s="83"/>
    </row>
    <row r="49" spans="1:12" ht="15.75" customHeight="1">
      <c r="A49" s="83"/>
      <c r="B49" s="116"/>
      <c r="C49" s="116"/>
      <c r="D49" s="116"/>
      <c r="E49" s="116"/>
      <c r="F49" s="116"/>
      <c r="G49" s="116"/>
      <c r="H49" s="116"/>
      <c r="I49" s="83"/>
      <c r="J49" s="83"/>
      <c r="K49" s="83"/>
      <c r="L49" s="83"/>
    </row>
    <row r="50" spans="1:12" ht="15.75" customHeight="1">
      <c r="A50" s="83"/>
      <c r="B50" s="116"/>
      <c r="C50" s="116"/>
      <c r="D50" s="116"/>
      <c r="E50" s="116"/>
      <c r="F50" s="116"/>
      <c r="G50" s="116"/>
      <c r="H50" s="116"/>
      <c r="I50" s="83"/>
      <c r="J50" s="83"/>
      <c r="K50" s="83"/>
      <c r="L50" s="83"/>
    </row>
    <row r="51" spans="1:12" ht="15.75" customHeight="1">
      <c r="A51" s="83"/>
      <c r="B51" s="116"/>
      <c r="C51" s="116"/>
      <c r="D51" s="116"/>
      <c r="E51" s="116"/>
      <c r="F51" s="116"/>
      <c r="G51" s="116"/>
      <c r="H51" s="116"/>
      <c r="I51" s="83"/>
      <c r="J51" s="83"/>
      <c r="K51" s="83"/>
      <c r="L51" s="83"/>
    </row>
    <row r="52" spans="1:12" ht="15.75" customHeight="1">
      <c r="A52" s="83"/>
      <c r="B52" s="116"/>
      <c r="C52" s="116"/>
      <c r="D52" s="116"/>
      <c r="E52" s="116"/>
      <c r="F52" s="116"/>
      <c r="G52" s="116"/>
      <c r="H52" s="116"/>
      <c r="I52" s="83"/>
      <c r="J52" s="83"/>
      <c r="K52" s="83"/>
      <c r="L52" s="83"/>
    </row>
    <row r="53" spans="1:12" ht="15.75" customHeight="1">
      <c r="A53" s="83"/>
      <c r="B53" s="116"/>
      <c r="C53" s="116"/>
      <c r="D53" s="116"/>
      <c r="E53" s="116"/>
      <c r="F53" s="116"/>
      <c r="G53" s="116"/>
      <c r="H53" s="116"/>
      <c r="I53" s="83"/>
      <c r="J53" s="83"/>
      <c r="K53" s="83"/>
      <c r="L53" s="83"/>
    </row>
    <row r="54" spans="1:12" ht="15.75" customHeight="1">
      <c r="A54" s="83"/>
      <c r="B54" s="116"/>
      <c r="C54" s="116"/>
      <c r="D54" s="116"/>
      <c r="E54" s="116"/>
      <c r="F54" s="116"/>
      <c r="G54" s="116"/>
      <c r="H54" s="116"/>
      <c r="I54" s="83"/>
      <c r="J54" s="83"/>
      <c r="K54" s="83"/>
      <c r="L54" s="83"/>
    </row>
    <row r="55" spans="1:12" ht="15.75" customHeight="1">
      <c r="A55" s="83"/>
      <c r="B55" s="116"/>
      <c r="C55" s="116"/>
      <c r="D55" s="116"/>
      <c r="E55" s="116"/>
      <c r="F55" s="116"/>
      <c r="G55" s="116"/>
      <c r="H55" s="116"/>
      <c r="I55" s="83"/>
      <c r="J55" s="83"/>
      <c r="K55" s="83"/>
      <c r="L55" s="83"/>
    </row>
    <row r="56" spans="1:12" ht="15.75" customHeight="1">
      <c r="A56" s="83"/>
      <c r="B56" s="116"/>
      <c r="C56" s="116"/>
      <c r="D56" s="116"/>
      <c r="E56" s="116"/>
      <c r="F56" s="116"/>
      <c r="G56" s="116"/>
      <c r="H56" s="116"/>
      <c r="I56" s="83"/>
      <c r="J56" s="83"/>
      <c r="K56" s="83"/>
      <c r="L56" s="83"/>
    </row>
    <row r="57" spans="1:12" ht="15.75" customHeight="1">
      <c r="A57" s="83"/>
      <c r="B57" s="116"/>
      <c r="C57" s="116"/>
      <c r="D57" s="116"/>
      <c r="E57" s="116"/>
      <c r="F57" s="116"/>
      <c r="G57" s="116"/>
      <c r="H57" s="116"/>
      <c r="I57" s="83"/>
      <c r="J57" s="83"/>
      <c r="K57" s="83"/>
      <c r="L57" s="83"/>
    </row>
    <row r="58" spans="1:12" ht="15.75" customHeight="1">
      <c r="A58" s="83"/>
      <c r="B58" s="116"/>
      <c r="C58" s="116"/>
      <c r="D58" s="116"/>
      <c r="E58" s="116"/>
      <c r="F58" s="116"/>
      <c r="G58" s="116"/>
      <c r="H58" s="116"/>
      <c r="I58" s="83"/>
      <c r="J58" s="83"/>
      <c r="K58" s="83"/>
      <c r="L58" s="83"/>
    </row>
    <row r="59" spans="1:12" ht="15.75" customHeight="1">
      <c r="A59" s="83"/>
      <c r="B59" s="116"/>
      <c r="C59" s="116"/>
      <c r="D59" s="116"/>
      <c r="E59" s="116"/>
      <c r="F59" s="116"/>
      <c r="G59" s="116"/>
      <c r="H59" s="116"/>
      <c r="I59" s="83"/>
      <c r="J59" s="83"/>
      <c r="K59" s="83"/>
      <c r="L59" s="83"/>
    </row>
    <row r="60" spans="1:12" ht="15.75" customHeight="1">
      <c r="A60" s="83"/>
      <c r="B60" s="116"/>
      <c r="C60" s="116"/>
      <c r="D60" s="116"/>
      <c r="E60" s="116"/>
      <c r="F60" s="116"/>
      <c r="G60" s="116"/>
      <c r="H60" s="116"/>
      <c r="I60" s="83"/>
      <c r="J60" s="83"/>
      <c r="K60" s="83"/>
      <c r="L60" s="83"/>
    </row>
    <row r="61" spans="1:12" ht="15.75" customHeight="1">
      <c r="A61" s="83"/>
      <c r="B61" s="116"/>
      <c r="C61" s="116"/>
      <c r="D61" s="116"/>
      <c r="E61" s="116"/>
      <c r="F61" s="116"/>
      <c r="G61" s="116"/>
      <c r="H61" s="116"/>
      <c r="I61" s="83"/>
      <c r="J61" s="83"/>
      <c r="K61" s="83"/>
      <c r="L61" s="83"/>
    </row>
    <row r="62" spans="1:12" ht="15.75" customHeight="1">
      <c r="A62" s="83"/>
      <c r="B62" s="116"/>
      <c r="C62" s="116"/>
      <c r="D62" s="116"/>
      <c r="E62" s="116"/>
      <c r="F62" s="116"/>
      <c r="G62" s="116"/>
      <c r="H62" s="116"/>
      <c r="I62" s="83"/>
      <c r="J62" s="83"/>
      <c r="K62" s="83"/>
      <c r="L62" s="83"/>
    </row>
    <row r="63" spans="1:12" ht="15.75" customHeight="1">
      <c r="A63" s="83"/>
      <c r="B63" s="116"/>
      <c r="C63" s="116"/>
      <c r="D63" s="116"/>
      <c r="E63" s="116"/>
      <c r="F63" s="116"/>
      <c r="G63" s="116"/>
      <c r="H63" s="116"/>
      <c r="I63" s="83"/>
      <c r="J63" s="83"/>
      <c r="K63" s="83"/>
      <c r="L63" s="83"/>
    </row>
    <row r="64" spans="1:12" ht="15.75" customHeight="1">
      <c r="A64" s="83"/>
      <c r="B64" s="116"/>
      <c r="C64" s="116"/>
      <c r="D64" s="116"/>
      <c r="E64" s="116"/>
      <c r="F64" s="116"/>
      <c r="G64" s="116"/>
      <c r="H64" s="116"/>
      <c r="I64" s="83"/>
      <c r="J64" s="83"/>
      <c r="K64" s="83"/>
      <c r="L64" s="83"/>
    </row>
    <row r="65" spans="1:12" ht="15.75" customHeight="1">
      <c r="A65" s="83"/>
      <c r="B65" s="116"/>
      <c r="C65" s="116"/>
      <c r="D65" s="116"/>
      <c r="E65" s="116"/>
      <c r="F65" s="116"/>
      <c r="G65" s="116"/>
      <c r="H65" s="116"/>
      <c r="I65" s="83"/>
      <c r="J65" s="83"/>
      <c r="K65" s="83"/>
      <c r="L65" s="83"/>
    </row>
    <row r="66" spans="1:12" ht="15.75" customHeight="1">
      <c r="A66" s="83"/>
      <c r="B66" s="116"/>
      <c r="C66" s="116"/>
      <c r="D66" s="116"/>
      <c r="E66" s="116"/>
      <c r="F66" s="116"/>
      <c r="G66" s="116"/>
      <c r="H66" s="116"/>
      <c r="I66" s="83"/>
      <c r="J66" s="83"/>
      <c r="K66" s="83"/>
      <c r="L66" s="83"/>
    </row>
    <row r="67" spans="1:12" ht="15.75" customHeight="1">
      <c r="A67" s="83"/>
      <c r="B67" s="116"/>
      <c r="C67" s="116"/>
      <c r="D67" s="116"/>
      <c r="E67" s="116"/>
      <c r="F67" s="116"/>
      <c r="G67" s="116"/>
      <c r="H67" s="116"/>
      <c r="I67" s="83"/>
      <c r="J67" s="83"/>
      <c r="K67" s="83"/>
      <c r="L67" s="83"/>
    </row>
    <row r="68" spans="1:12" ht="15.75" customHeight="1">
      <c r="A68" s="83"/>
      <c r="B68" s="116"/>
      <c r="C68" s="116"/>
      <c r="D68" s="116"/>
      <c r="E68" s="116"/>
      <c r="F68" s="116"/>
      <c r="G68" s="116"/>
      <c r="H68" s="116"/>
      <c r="I68" s="83"/>
      <c r="J68" s="83"/>
      <c r="K68" s="83"/>
      <c r="L68" s="83"/>
    </row>
    <row r="69" spans="1:12" ht="15.75" customHeight="1">
      <c r="A69" s="83"/>
      <c r="B69" s="116"/>
      <c r="C69" s="116"/>
      <c r="D69" s="116"/>
      <c r="E69" s="116"/>
      <c r="F69" s="116"/>
      <c r="G69" s="116"/>
      <c r="H69" s="116"/>
      <c r="I69" s="83"/>
      <c r="J69" s="83"/>
      <c r="K69" s="83"/>
      <c r="L69" s="83"/>
    </row>
    <row r="70" spans="1:12" ht="15.75" customHeight="1">
      <c r="A70" s="83"/>
      <c r="B70" s="116"/>
      <c r="C70" s="116"/>
      <c r="D70" s="116"/>
      <c r="E70" s="116"/>
      <c r="F70" s="116"/>
      <c r="G70" s="116"/>
      <c r="H70" s="116"/>
      <c r="I70" s="83"/>
      <c r="J70" s="83"/>
      <c r="K70" s="83"/>
      <c r="L70" s="83"/>
    </row>
    <row r="71" spans="1:12" ht="15.75" customHeight="1">
      <c r="A71" s="83"/>
      <c r="B71" s="116"/>
      <c r="C71" s="116"/>
      <c r="D71" s="116"/>
      <c r="E71" s="116"/>
      <c r="F71" s="116"/>
      <c r="G71" s="116"/>
      <c r="H71" s="116"/>
      <c r="I71" s="83"/>
      <c r="J71" s="83"/>
      <c r="K71" s="83"/>
      <c r="L71" s="83"/>
    </row>
    <row r="72" spans="1:12" ht="15.75" customHeight="1">
      <c r="A72" s="83"/>
      <c r="B72" s="116"/>
      <c r="C72" s="116"/>
      <c r="D72" s="116"/>
      <c r="E72" s="116"/>
      <c r="F72" s="116"/>
      <c r="G72" s="116"/>
      <c r="H72" s="116"/>
      <c r="I72" s="83"/>
      <c r="J72" s="83"/>
      <c r="K72" s="83"/>
      <c r="L72" s="83"/>
    </row>
    <row r="73" spans="1:12" ht="15.75" customHeight="1">
      <c r="A73" s="83"/>
      <c r="B73" s="116"/>
      <c r="C73" s="116"/>
      <c r="D73" s="116"/>
      <c r="E73" s="116"/>
      <c r="F73" s="116"/>
      <c r="G73" s="116"/>
      <c r="H73" s="116"/>
      <c r="I73" s="83"/>
      <c r="J73" s="83"/>
      <c r="K73" s="83"/>
      <c r="L73" s="83"/>
    </row>
    <row r="74" spans="1:12" ht="15.75" customHeight="1">
      <c r="A74" s="83"/>
      <c r="B74" s="116"/>
      <c r="C74" s="116"/>
      <c r="D74" s="116"/>
      <c r="E74" s="116"/>
      <c r="F74" s="116"/>
      <c r="G74" s="116"/>
      <c r="H74" s="116"/>
      <c r="I74" s="83"/>
      <c r="J74" s="83"/>
      <c r="K74" s="83"/>
      <c r="L74" s="83"/>
    </row>
    <row r="75" spans="1:12" ht="15.75" customHeight="1">
      <c r="A75" s="83"/>
      <c r="B75" s="116"/>
      <c r="C75" s="116"/>
      <c r="D75" s="116"/>
      <c r="E75" s="116"/>
      <c r="F75" s="116"/>
      <c r="G75" s="116"/>
      <c r="H75" s="116"/>
      <c r="I75" s="83"/>
      <c r="J75" s="83"/>
      <c r="K75" s="83"/>
      <c r="L75" s="83"/>
    </row>
    <row r="76" spans="1:12" ht="15.75" customHeight="1">
      <c r="A76" s="83"/>
      <c r="B76" s="116"/>
      <c r="C76" s="116"/>
      <c r="D76" s="116"/>
      <c r="E76" s="116"/>
      <c r="F76" s="116"/>
      <c r="G76" s="116"/>
      <c r="H76" s="116"/>
      <c r="I76" s="83"/>
      <c r="J76" s="83"/>
      <c r="K76" s="83"/>
      <c r="L76" s="83"/>
    </row>
    <row r="77" spans="1:12" ht="15.75" customHeight="1">
      <c r="A77" s="83"/>
      <c r="B77" s="116"/>
      <c r="C77" s="116"/>
      <c r="D77" s="116"/>
      <c r="E77" s="116"/>
      <c r="F77" s="116"/>
      <c r="G77" s="116"/>
      <c r="H77" s="116"/>
      <c r="I77" s="83"/>
      <c r="J77" s="83"/>
      <c r="K77" s="83"/>
      <c r="L77" s="83"/>
    </row>
    <row r="78" spans="1:12" ht="15.75" customHeight="1">
      <c r="A78" s="83"/>
      <c r="B78" s="116"/>
      <c r="C78" s="116"/>
      <c r="D78" s="116"/>
      <c r="E78" s="116"/>
      <c r="F78" s="116"/>
      <c r="G78" s="116"/>
      <c r="H78" s="116"/>
      <c r="I78" s="83"/>
      <c r="J78" s="83"/>
      <c r="K78" s="83"/>
      <c r="L78" s="83"/>
    </row>
    <row r="79" spans="1:12" ht="15.75" customHeight="1">
      <c r="A79" s="83"/>
      <c r="B79" s="116"/>
      <c r="C79" s="116"/>
      <c r="D79" s="116"/>
      <c r="E79" s="116"/>
      <c r="F79" s="116"/>
      <c r="G79" s="116"/>
      <c r="H79" s="116"/>
      <c r="I79" s="83"/>
      <c r="J79" s="83"/>
      <c r="K79" s="83"/>
      <c r="L79" s="83"/>
    </row>
    <row r="80" spans="1:12" ht="15.75" customHeight="1">
      <c r="A80" s="83"/>
      <c r="B80" s="116"/>
      <c r="C80" s="116"/>
      <c r="D80" s="116"/>
      <c r="E80" s="116"/>
      <c r="F80" s="116"/>
      <c r="G80" s="116"/>
      <c r="H80" s="116"/>
      <c r="I80" s="83"/>
      <c r="J80" s="83"/>
      <c r="K80" s="83"/>
      <c r="L80" s="83"/>
    </row>
    <row r="81" spans="1:12" ht="15.75" customHeight="1">
      <c r="A81" s="83"/>
      <c r="B81" s="116"/>
      <c r="C81" s="116"/>
      <c r="D81" s="116"/>
      <c r="E81" s="116"/>
      <c r="F81" s="116"/>
      <c r="G81" s="116"/>
      <c r="H81" s="116"/>
      <c r="I81" s="83"/>
      <c r="J81" s="83"/>
      <c r="K81" s="83"/>
      <c r="L81" s="83"/>
    </row>
    <row r="82" spans="1:12" ht="15.75" customHeight="1">
      <c r="A82" s="83"/>
      <c r="B82" s="116"/>
      <c r="C82" s="116"/>
      <c r="D82" s="116"/>
      <c r="E82" s="116"/>
      <c r="F82" s="116"/>
      <c r="G82" s="116"/>
      <c r="H82" s="116"/>
      <c r="I82" s="83"/>
      <c r="J82" s="83"/>
      <c r="K82" s="83"/>
      <c r="L82" s="83"/>
    </row>
    <row r="83" spans="1:12" ht="15.75" customHeight="1">
      <c r="A83" s="83"/>
      <c r="B83" s="116"/>
      <c r="C83" s="116"/>
      <c r="D83" s="116"/>
      <c r="E83" s="116"/>
      <c r="F83" s="116"/>
      <c r="G83" s="116"/>
      <c r="H83" s="116"/>
      <c r="I83" s="83"/>
      <c r="J83" s="83"/>
      <c r="K83" s="83"/>
      <c r="L83" s="83"/>
    </row>
    <row r="84" spans="1:12" ht="15.75" customHeight="1">
      <c r="A84" s="83"/>
      <c r="B84" s="116"/>
      <c r="C84" s="116"/>
      <c r="D84" s="116"/>
      <c r="E84" s="116"/>
      <c r="F84" s="116"/>
      <c r="G84" s="116"/>
      <c r="H84" s="116"/>
      <c r="I84" s="83"/>
      <c r="J84" s="83"/>
      <c r="K84" s="83"/>
      <c r="L84" s="83"/>
    </row>
    <row r="85" spans="1:12" ht="15.75" customHeight="1">
      <c r="A85" s="83"/>
      <c r="B85" s="116"/>
      <c r="C85" s="116"/>
      <c r="D85" s="116"/>
      <c r="E85" s="116"/>
      <c r="F85" s="116"/>
      <c r="G85" s="116"/>
      <c r="H85" s="116"/>
      <c r="I85" s="83"/>
      <c r="J85" s="83"/>
      <c r="K85" s="83"/>
      <c r="L85" s="83"/>
    </row>
    <row r="86" spans="1:12" ht="15.75" customHeight="1">
      <c r="A86" s="83"/>
      <c r="B86" s="116"/>
      <c r="C86" s="116"/>
      <c r="D86" s="116"/>
      <c r="E86" s="116"/>
      <c r="F86" s="116"/>
      <c r="G86" s="116"/>
      <c r="H86" s="116"/>
      <c r="I86" s="83"/>
      <c r="J86" s="83"/>
      <c r="K86" s="83"/>
      <c r="L86" s="83"/>
    </row>
    <row r="87" spans="1:12" ht="15.75" customHeight="1">
      <c r="A87" s="83"/>
      <c r="B87" s="116"/>
      <c r="C87" s="116"/>
      <c r="D87" s="116"/>
      <c r="E87" s="116"/>
      <c r="F87" s="116"/>
      <c r="G87" s="116"/>
      <c r="H87" s="116"/>
      <c r="I87" s="83"/>
      <c r="J87" s="83"/>
      <c r="K87" s="83"/>
      <c r="L87" s="83"/>
    </row>
    <row r="88" spans="1:12" ht="15.75" customHeight="1">
      <c r="A88" s="83"/>
      <c r="B88" s="116"/>
      <c r="C88" s="116"/>
      <c r="D88" s="116"/>
      <c r="E88" s="116"/>
      <c r="F88" s="116"/>
      <c r="G88" s="116"/>
      <c r="H88" s="116"/>
      <c r="I88" s="83"/>
      <c r="J88" s="83"/>
      <c r="K88" s="83"/>
      <c r="L88" s="83"/>
    </row>
    <row r="89" spans="1:12" ht="15.75" customHeight="1">
      <c r="A89" s="83"/>
      <c r="B89" s="116"/>
      <c r="C89" s="116"/>
      <c r="D89" s="116"/>
      <c r="E89" s="116"/>
      <c r="F89" s="116"/>
      <c r="G89" s="116"/>
      <c r="H89" s="116"/>
      <c r="I89" s="83"/>
      <c r="J89" s="83"/>
      <c r="K89" s="83"/>
      <c r="L89" s="83"/>
    </row>
    <row r="90" spans="1:12" ht="15.75" customHeight="1">
      <c r="A90" s="83"/>
      <c r="B90" s="116"/>
      <c r="C90" s="116"/>
      <c r="D90" s="116"/>
      <c r="E90" s="116"/>
      <c r="F90" s="116"/>
      <c r="G90" s="116"/>
      <c r="H90" s="116"/>
      <c r="I90" s="83"/>
      <c r="J90" s="83"/>
      <c r="K90" s="83"/>
      <c r="L90" s="83"/>
    </row>
    <row r="91" spans="1:12" ht="15.75" customHeight="1">
      <c r="A91" s="83"/>
      <c r="B91" s="116"/>
      <c r="C91" s="116"/>
      <c r="D91" s="116"/>
      <c r="E91" s="116"/>
      <c r="F91" s="116"/>
      <c r="G91" s="116"/>
      <c r="H91" s="116"/>
      <c r="I91" s="83"/>
      <c r="J91" s="83"/>
      <c r="K91" s="83"/>
      <c r="L91" s="83"/>
    </row>
    <row r="92" spans="1:12" ht="15.75" customHeight="1">
      <c r="A92" s="83"/>
      <c r="B92" s="116"/>
      <c r="C92" s="116"/>
      <c r="D92" s="116"/>
      <c r="E92" s="116"/>
      <c r="F92" s="116"/>
      <c r="G92" s="116"/>
      <c r="H92" s="116"/>
      <c r="I92" s="83"/>
      <c r="J92" s="83"/>
      <c r="K92" s="83"/>
      <c r="L92" s="83"/>
    </row>
    <row r="93" spans="1:12" ht="15.75" customHeight="1">
      <c r="A93" s="83"/>
      <c r="B93" s="116"/>
      <c r="C93" s="116"/>
      <c r="D93" s="116"/>
      <c r="E93" s="116"/>
      <c r="F93" s="116"/>
      <c r="G93" s="116"/>
      <c r="H93" s="116"/>
      <c r="I93" s="83"/>
      <c r="J93" s="83"/>
      <c r="K93" s="83"/>
      <c r="L93" s="83"/>
    </row>
    <row r="94" spans="1:12" ht="15.75" customHeight="1">
      <c r="A94" s="83"/>
      <c r="B94" s="116"/>
      <c r="C94" s="116"/>
      <c r="D94" s="116"/>
      <c r="E94" s="116"/>
      <c r="F94" s="116"/>
      <c r="G94" s="116"/>
      <c r="H94" s="116"/>
      <c r="I94" s="83"/>
      <c r="J94" s="83"/>
      <c r="K94" s="83"/>
      <c r="L94" s="83"/>
    </row>
    <row r="95" spans="1:12" ht="15.75" customHeight="1">
      <c r="A95" s="83"/>
      <c r="B95" s="116"/>
      <c r="C95" s="116"/>
      <c r="D95" s="116"/>
      <c r="E95" s="116"/>
      <c r="F95" s="116"/>
      <c r="G95" s="116"/>
      <c r="H95" s="116"/>
      <c r="I95" s="83"/>
      <c r="J95" s="83"/>
      <c r="K95" s="83"/>
      <c r="L95" s="83"/>
    </row>
    <row r="96" spans="1:12" ht="15.75" customHeight="1">
      <c r="A96" s="83"/>
      <c r="B96" s="116"/>
      <c r="C96" s="116"/>
      <c r="D96" s="116"/>
      <c r="E96" s="116"/>
      <c r="F96" s="116"/>
      <c r="G96" s="116"/>
      <c r="H96" s="116"/>
      <c r="I96" s="83"/>
      <c r="J96" s="83"/>
      <c r="K96" s="83"/>
      <c r="L96" s="83"/>
    </row>
    <row r="97" spans="1:12" ht="15.75" customHeight="1">
      <c r="A97" s="83"/>
      <c r="B97" s="116"/>
      <c r="C97" s="116"/>
      <c r="D97" s="116"/>
      <c r="E97" s="116"/>
      <c r="F97" s="116"/>
      <c r="G97" s="116"/>
      <c r="H97" s="116"/>
      <c r="I97" s="83"/>
      <c r="J97" s="83"/>
      <c r="K97" s="83"/>
      <c r="L97" s="83"/>
    </row>
    <row r="98" spans="1:12" ht="15.75" customHeight="1">
      <c r="A98" s="83"/>
      <c r="B98" s="116"/>
      <c r="C98" s="116"/>
      <c r="D98" s="116"/>
      <c r="E98" s="116"/>
      <c r="F98" s="116"/>
      <c r="G98" s="116"/>
      <c r="H98" s="116"/>
      <c r="I98" s="83"/>
      <c r="J98" s="83"/>
      <c r="K98" s="83"/>
      <c r="L98" s="83"/>
    </row>
    <row r="99" spans="1:12" ht="15.75" customHeight="1">
      <c r="A99" s="83"/>
      <c r="B99" s="116"/>
      <c r="C99" s="116"/>
      <c r="D99" s="116"/>
      <c r="E99" s="116"/>
      <c r="F99" s="116"/>
      <c r="G99" s="116"/>
      <c r="H99" s="116"/>
      <c r="I99" s="83"/>
      <c r="J99" s="83"/>
      <c r="K99" s="83"/>
      <c r="L99" s="83"/>
    </row>
    <row r="100" spans="1:12" ht="15.75" customHeight="1">
      <c r="A100" s="83"/>
      <c r="B100" s="116"/>
      <c r="C100" s="116"/>
      <c r="D100" s="116"/>
      <c r="E100" s="116"/>
      <c r="F100" s="116"/>
      <c r="G100" s="116"/>
      <c r="H100" s="116"/>
      <c r="I100" s="83"/>
      <c r="J100" s="83"/>
      <c r="K100" s="83"/>
      <c r="L100" s="83"/>
    </row>
    <row r="101" spans="1:12" ht="15.75" customHeight="1">
      <c r="A101" s="83"/>
      <c r="B101" s="116"/>
      <c r="C101" s="116"/>
      <c r="D101" s="116"/>
      <c r="E101" s="116"/>
      <c r="F101" s="116"/>
      <c r="G101" s="116"/>
      <c r="H101" s="116"/>
      <c r="I101" s="83"/>
      <c r="J101" s="83"/>
      <c r="K101" s="83"/>
      <c r="L101" s="83"/>
    </row>
  </sheetData>
  <sheetProtection algorithmName="SHA-512" hashValue="GHlSOVmfN8m+XxJxsL4k02pqZlm5y+yusmLnaVS9I4TYbRSxVZL6SMgUHjzQ+MQV+ipPL9keW9uXrm0IwwkJvA==" saltValue="Fa9cZ5ESKtMZv+KOmV/x8A==" spinCount="100000" sheet="1" objects="1" scenarios="1"/>
  <mergeCells count="33">
    <mergeCell ref="L3:M4"/>
    <mergeCell ref="I5:I7"/>
    <mergeCell ref="K5:K7"/>
    <mergeCell ref="I8:I10"/>
    <mergeCell ref="K8:K10"/>
    <mergeCell ref="I3:I4"/>
    <mergeCell ref="K3:K4"/>
    <mergeCell ref="J3:J4"/>
    <mergeCell ref="J5:J7"/>
    <mergeCell ref="J8:J10"/>
    <mergeCell ref="I1:K1"/>
    <mergeCell ref="A1:A2"/>
    <mergeCell ref="B1:B2"/>
    <mergeCell ref="C1:C2"/>
    <mergeCell ref="D1:D2"/>
    <mergeCell ref="E1:E2"/>
    <mergeCell ref="F1:F2"/>
    <mergeCell ref="G1:G2"/>
    <mergeCell ref="H1:H2"/>
    <mergeCell ref="I2:J2"/>
    <mergeCell ref="A20:G20"/>
    <mergeCell ref="A19:D19"/>
    <mergeCell ref="A5:A7"/>
    <mergeCell ref="A8:A10"/>
    <mergeCell ref="F19:G19"/>
    <mergeCell ref="A11:B11"/>
    <mergeCell ref="A3:A4"/>
    <mergeCell ref="A16:B16"/>
    <mergeCell ref="A17:B17"/>
    <mergeCell ref="A18:B18"/>
    <mergeCell ref="A15:B15"/>
    <mergeCell ref="A14:B14"/>
    <mergeCell ref="A13:B13"/>
  </mergeCells>
  <conditionalFormatting sqref="A5:B5 A8 A3:B3 B4 A12:B12 B6:B10 A13:A18">
    <cfRule type="colorScale" priority="24">
      <colorScale>
        <cfvo type="min"/>
        <cfvo type="percentile" val="50"/>
        <cfvo type="max"/>
        <color rgb="FF63BE7B"/>
        <color rgb="FFFFEB84"/>
        <color rgb="FFF8696B"/>
      </colorScale>
    </cfRule>
  </conditionalFormatting>
  <conditionalFormatting sqref="A11">
    <cfRule type="colorScale" priority="26">
      <colorScale>
        <cfvo type="min"/>
        <cfvo type="percentile" val="50"/>
        <cfvo type="max"/>
        <color rgb="FF63BE7B"/>
        <color rgb="FFFFEB84"/>
        <color rgb="FFF8696B"/>
      </colorScale>
    </cfRule>
  </conditionalFormatting>
  <conditionalFormatting sqref="A19">
    <cfRule type="colorScale" priority="28">
      <colorScale>
        <cfvo type="min"/>
        <cfvo type="percentile" val="50"/>
        <cfvo type="max"/>
        <color rgb="FF63BE7B"/>
        <color rgb="FFFFEB84"/>
        <color rgb="FFF8696B"/>
      </colorScale>
    </cfRule>
  </conditionalFormatting>
  <conditionalFormatting sqref="F19:G19">
    <cfRule type="cellIs" dxfId="201" priority="18" operator="lessThan">
      <formula>-10</formula>
    </cfRule>
    <cfRule type="cellIs" dxfId="200" priority="19" operator="greaterThan">
      <formula>10</formula>
    </cfRule>
    <cfRule type="cellIs" dxfId="199" priority="20" operator="between">
      <formula>5</formula>
      <formula>10</formula>
    </cfRule>
    <cfRule type="cellIs" dxfId="198" priority="21" operator="between">
      <formula>-5</formula>
      <formula>-10</formula>
    </cfRule>
    <cfRule type="cellIs" dxfId="197" priority="22" operator="between">
      <formula>-5</formula>
      <formula>5</formula>
    </cfRule>
  </conditionalFormatting>
  <conditionalFormatting sqref="D18">
    <cfRule type="cellIs" dxfId="196" priority="14" operator="lessThan">
      <formula>-5</formula>
    </cfRule>
    <cfRule type="cellIs" dxfId="195" priority="15" operator="greaterThan">
      <formula>5</formula>
    </cfRule>
    <cfRule type="cellIs" dxfId="194" priority="17" operator="between">
      <formula>-5</formula>
      <formula>5</formula>
    </cfRule>
  </conditionalFormatting>
  <conditionalFormatting sqref="E18">
    <cfRule type="cellIs" dxfId="193" priority="12" operator="lessThan">
      <formula>-5</formula>
    </cfRule>
    <cfRule type="cellIs" dxfId="192" priority="13" operator="greaterThan">
      <formula>5</formula>
    </cfRule>
    <cfRule type="cellIs" dxfId="191" priority="16" operator="between">
      <formula>-5</formula>
      <formula>5</formula>
    </cfRule>
  </conditionalFormatting>
  <conditionalFormatting sqref="H18">
    <cfRule type="cellIs" dxfId="190" priority="10" operator="greaterThan">
      <formula>100</formula>
    </cfRule>
    <cfRule type="cellIs" dxfId="189" priority="11" operator="between">
      <formula>100</formula>
      <formula>-100</formula>
    </cfRule>
  </conditionalFormatting>
  <conditionalFormatting sqref="F18">
    <cfRule type="cellIs" dxfId="188" priority="7" operator="lessThan">
      <formula>-5</formula>
    </cfRule>
    <cfRule type="cellIs" dxfId="187" priority="8" operator="greaterThan">
      <formula>5</formula>
    </cfRule>
    <cfRule type="cellIs" dxfId="186" priority="9" operator="between">
      <formula>-5</formula>
      <formula>5</formula>
    </cfRule>
  </conditionalFormatting>
  <conditionalFormatting sqref="G18">
    <cfRule type="cellIs" dxfId="185" priority="4" operator="lessThan">
      <formula>-5</formula>
    </cfRule>
    <cfRule type="cellIs" dxfId="184" priority="5" operator="greaterThan">
      <formula>5</formula>
    </cfRule>
    <cfRule type="cellIs" dxfId="183" priority="6" operator="between">
      <formula>-5</formula>
      <formula>5</formula>
    </cfRule>
  </conditionalFormatting>
  <conditionalFormatting sqref="A21:E21 A20">
    <cfRule type="colorScale" priority="3">
      <colorScale>
        <cfvo type="min"/>
        <cfvo type="percentile" val="50"/>
        <cfvo type="max"/>
        <color rgb="FF63BE7B"/>
        <color rgb="FFFFEB84"/>
        <color rgb="FFF8696B"/>
      </colorScale>
    </cfRule>
  </conditionalFormatting>
  <conditionalFormatting sqref="I1:J1">
    <cfRule type="colorScale" priority="2">
      <colorScale>
        <cfvo type="min"/>
        <cfvo type="percentile" val="50"/>
        <cfvo type="max"/>
        <color rgb="FF63BE7B"/>
        <color rgb="FFFFEB84"/>
        <color rgb="FFF8696B"/>
      </colorScale>
    </cfRule>
  </conditionalFormatting>
  <conditionalFormatting sqref="I2">
    <cfRule type="colorScale" priority="1">
      <colorScale>
        <cfvo type="min"/>
        <cfvo type="percentile" val="50"/>
        <cfvo type="max"/>
        <color rgb="FF63BE7B"/>
        <color rgb="FFFFEB84"/>
        <color rgb="FFF8696B"/>
      </colorScale>
    </cfRule>
  </conditionalFormatting>
  <conditionalFormatting sqref="A1:H1">
    <cfRule type="colorScale" priority="71">
      <colorScale>
        <cfvo type="min"/>
        <cfvo type="percentile" val="50"/>
        <cfvo type="max"/>
        <color rgb="FF63BE7B"/>
        <color rgb="FFFFEB84"/>
        <color rgb="FFF8696B"/>
      </colorScale>
    </cfRule>
  </conditionalFormatting>
  <pageMargins left="0.25" right="0.25" top="0.75" bottom="0.75" header="0.3" footer="0.3"/>
  <pageSetup paperSize="9" scale="87" orientation="landscape" cellComments="atEnd"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6">
    <pageSetUpPr fitToPage="1"/>
  </sheetPr>
  <dimension ref="A1:AC100"/>
  <sheetViews>
    <sheetView zoomScale="73" zoomScaleNormal="73" workbookViewId="0">
      <selection activeCell="H16" sqref="H16"/>
    </sheetView>
  </sheetViews>
  <sheetFormatPr defaultColWidth="9" defaultRowHeight="15" customHeight="1"/>
  <cols>
    <col min="1" max="2" width="21.44140625" style="234" customWidth="1"/>
    <col min="3" max="3" width="10.88671875" style="234" customWidth="1"/>
    <col min="4" max="4" width="20.88671875" style="234" customWidth="1"/>
    <col min="5" max="7" width="10.109375" style="234" hidden="1" customWidth="1"/>
    <col min="8" max="8" width="20.88671875" style="234" customWidth="1"/>
    <col min="9" max="11" width="10.109375" style="234" hidden="1" customWidth="1"/>
    <col min="12" max="12" width="20.88671875" style="234" customWidth="1"/>
    <col min="13" max="15" width="10.109375" style="234" hidden="1" customWidth="1"/>
    <col min="16" max="16" width="20.88671875" style="234" customWidth="1"/>
    <col min="17" max="19" width="10.109375" style="234" hidden="1" customWidth="1"/>
    <col min="20" max="20" width="20.88671875" style="234" customWidth="1"/>
    <col min="21" max="23" width="10.109375" style="234" hidden="1" customWidth="1"/>
    <col min="24" max="24" width="20.88671875" style="234" customWidth="1"/>
    <col min="25" max="27" width="10.109375" style="234" hidden="1" customWidth="1"/>
    <col min="28" max="28" width="11.88671875" style="234" customWidth="1"/>
    <col min="29" max="16384" width="9" style="234"/>
  </cols>
  <sheetData>
    <row r="1" spans="1:28" ht="82.5" customHeight="1" thickBot="1">
      <c r="A1" s="231"/>
      <c r="B1" s="231"/>
      <c r="C1" s="232"/>
      <c r="D1" s="233"/>
      <c r="E1" s="233"/>
      <c r="F1" s="233"/>
      <c r="G1" s="233"/>
      <c r="H1" s="233"/>
      <c r="I1" s="233"/>
      <c r="J1" s="233"/>
      <c r="K1" s="233"/>
      <c r="L1" s="233"/>
      <c r="M1" s="233"/>
      <c r="N1" s="233"/>
      <c r="O1" s="233"/>
      <c r="P1" s="233"/>
      <c r="Q1" s="233"/>
      <c r="R1" s="233"/>
      <c r="S1" s="233"/>
      <c r="T1" s="233"/>
      <c r="U1" s="233"/>
      <c r="V1" s="233"/>
      <c r="W1" s="233"/>
      <c r="X1" s="233"/>
      <c r="Y1" s="233"/>
      <c r="Z1" s="233"/>
      <c r="AA1" s="233"/>
      <c r="AB1" s="233"/>
    </row>
    <row r="2" spans="1:28" s="237" customFormat="1" ht="21" customHeight="1" thickTop="1">
      <c r="A2" s="425" t="s">
        <v>19</v>
      </c>
      <c r="B2" s="427" t="s">
        <v>20</v>
      </c>
      <c r="C2" s="429" t="s">
        <v>21</v>
      </c>
      <c r="D2" s="235" t="s">
        <v>46</v>
      </c>
      <c r="E2" s="227"/>
      <c r="F2" s="227"/>
      <c r="G2" s="228"/>
      <c r="H2" s="235" t="s">
        <v>87</v>
      </c>
      <c r="I2" s="227"/>
      <c r="J2" s="227"/>
      <c r="K2" s="228"/>
      <c r="L2" s="236" t="s">
        <v>48</v>
      </c>
      <c r="M2" s="227"/>
      <c r="N2" s="227"/>
      <c r="O2" s="228"/>
      <c r="P2" s="235" t="s">
        <v>87</v>
      </c>
      <c r="Q2" s="227"/>
      <c r="R2" s="227"/>
      <c r="S2" s="228"/>
      <c r="T2" s="236" t="s">
        <v>47</v>
      </c>
      <c r="U2" s="227"/>
      <c r="V2" s="227"/>
      <c r="W2" s="228"/>
      <c r="X2" s="235" t="s">
        <v>49</v>
      </c>
      <c r="Y2" s="229"/>
      <c r="Z2" s="229"/>
      <c r="AA2" s="230"/>
      <c r="AB2" s="420" t="s">
        <v>50</v>
      </c>
    </row>
    <row r="3" spans="1:28" ht="27.75" customHeight="1" thickBot="1">
      <c r="A3" s="426"/>
      <c r="B3" s="428"/>
      <c r="C3" s="430"/>
      <c r="D3" s="238" t="s">
        <v>51</v>
      </c>
      <c r="E3" s="40" t="s">
        <v>52</v>
      </c>
      <c r="F3" s="40" t="s">
        <v>53</v>
      </c>
      <c r="G3" s="41" t="s">
        <v>54</v>
      </c>
      <c r="H3" s="239" t="s">
        <v>51</v>
      </c>
      <c r="I3" s="40" t="s">
        <v>52</v>
      </c>
      <c r="J3" s="40" t="s">
        <v>53</v>
      </c>
      <c r="K3" s="41" t="s">
        <v>54</v>
      </c>
      <c r="L3" s="239" t="s">
        <v>51</v>
      </c>
      <c r="M3" s="40" t="s">
        <v>52</v>
      </c>
      <c r="N3" s="40" t="s">
        <v>53</v>
      </c>
      <c r="O3" s="41" t="s">
        <v>54</v>
      </c>
      <c r="P3" s="239" t="s">
        <v>51</v>
      </c>
      <c r="Q3" s="40" t="s">
        <v>52</v>
      </c>
      <c r="R3" s="40" t="s">
        <v>53</v>
      </c>
      <c r="S3" s="41" t="s">
        <v>54</v>
      </c>
      <c r="T3" s="239" t="s">
        <v>51</v>
      </c>
      <c r="U3" s="40" t="s">
        <v>52</v>
      </c>
      <c r="V3" s="40" t="s">
        <v>53</v>
      </c>
      <c r="W3" s="41" t="s">
        <v>54</v>
      </c>
      <c r="X3" s="239" t="s">
        <v>51</v>
      </c>
      <c r="Y3" s="40" t="s">
        <v>52</v>
      </c>
      <c r="Z3" s="40" t="s">
        <v>53</v>
      </c>
      <c r="AA3" s="41" t="s">
        <v>54</v>
      </c>
      <c r="AB3" s="421"/>
    </row>
    <row r="4" spans="1:28" ht="27" customHeight="1" thickTop="1" thickBot="1">
      <c r="A4" s="422" t="s">
        <v>27</v>
      </c>
      <c r="B4" s="122" t="s">
        <v>28</v>
      </c>
      <c r="C4" s="136">
        <f>'Ex. List'!C3</f>
        <v>13</v>
      </c>
      <c r="D4" s="182">
        <v>5</v>
      </c>
      <c r="E4" s="42">
        <f t="shared" ref="E4:E5" si="0">SUM(D4*0)</f>
        <v>0</v>
      </c>
      <c r="F4" s="42">
        <f t="shared" ref="F4:F5" si="1">D4*15</f>
        <v>75</v>
      </c>
      <c r="G4" s="43">
        <f>SUM(D4*81)</f>
        <v>405</v>
      </c>
      <c r="H4" s="182">
        <v>0</v>
      </c>
      <c r="I4" s="42">
        <f t="shared" ref="I4:I5" si="2">SUM(H4*0)</f>
        <v>0</v>
      </c>
      <c r="J4" s="42">
        <f t="shared" ref="J4:J5" si="3">H4*15</f>
        <v>0</v>
      </c>
      <c r="K4" s="43">
        <f>SUM(H4*81)</f>
        <v>0</v>
      </c>
      <c r="L4" s="182">
        <v>4</v>
      </c>
      <c r="M4" s="42">
        <f t="shared" ref="M4:M5" si="4">SUM(L4*0)</f>
        <v>0</v>
      </c>
      <c r="N4" s="42">
        <f t="shared" ref="N4:N5" si="5">L4*15</f>
        <v>60</v>
      </c>
      <c r="O4" s="43">
        <f>SUM(L4*81)</f>
        <v>324</v>
      </c>
      <c r="P4" s="182">
        <v>0</v>
      </c>
      <c r="Q4" s="42">
        <f t="shared" ref="Q4:Q5" si="6">SUM(P4*0)</f>
        <v>0</v>
      </c>
      <c r="R4" s="42">
        <f t="shared" ref="R4:R5" si="7">P4*15</f>
        <v>0</v>
      </c>
      <c r="S4" s="43">
        <f>SUM(P4*81)</f>
        <v>0</v>
      </c>
      <c r="T4" s="182">
        <v>4</v>
      </c>
      <c r="U4" s="42">
        <f>SUM(T4*0)</f>
        <v>0</v>
      </c>
      <c r="V4" s="42">
        <f>T4*15</f>
        <v>60</v>
      </c>
      <c r="W4" s="43">
        <f>SUM(T4*81)</f>
        <v>324</v>
      </c>
      <c r="X4" s="182">
        <v>0</v>
      </c>
      <c r="Y4" s="42">
        <f t="shared" ref="Y4:Y5" si="8">SUM(X4*0)</f>
        <v>0</v>
      </c>
      <c r="Z4" s="42">
        <f t="shared" ref="Z4:Z5" si="9">X4*15</f>
        <v>0</v>
      </c>
      <c r="AA4" s="43">
        <f>SUM(X4*81)</f>
        <v>0</v>
      </c>
      <c r="AB4" s="226">
        <f>SUM(D4+H4+L4+P4+T4+X4)-C4</f>
        <v>0</v>
      </c>
    </row>
    <row r="5" spans="1:28" ht="24" customHeight="1" thickTop="1" thickBot="1">
      <c r="A5" s="424"/>
      <c r="B5" s="123" t="s">
        <v>29</v>
      </c>
      <c r="C5" s="137">
        <f>'Ex. List'!C4</f>
        <v>1</v>
      </c>
      <c r="D5" s="182">
        <v>0</v>
      </c>
      <c r="E5" s="44">
        <f t="shared" si="0"/>
        <v>0</v>
      </c>
      <c r="F5" s="44">
        <f t="shared" si="1"/>
        <v>0</v>
      </c>
      <c r="G5" s="45">
        <f>SUM(D5*118)</f>
        <v>0</v>
      </c>
      <c r="H5" s="182">
        <v>0</v>
      </c>
      <c r="I5" s="44">
        <f t="shared" si="2"/>
        <v>0</v>
      </c>
      <c r="J5" s="44">
        <f t="shared" si="3"/>
        <v>0</v>
      </c>
      <c r="K5" s="45">
        <f>SUM(H5*118)</f>
        <v>0</v>
      </c>
      <c r="L5" s="182">
        <v>1</v>
      </c>
      <c r="M5" s="44">
        <f t="shared" si="4"/>
        <v>0</v>
      </c>
      <c r="N5" s="44">
        <f t="shared" si="5"/>
        <v>15</v>
      </c>
      <c r="O5" s="45">
        <f>SUM(L5*118)</f>
        <v>118</v>
      </c>
      <c r="P5" s="182">
        <v>0</v>
      </c>
      <c r="Q5" s="44">
        <f t="shared" si="6"/>
        <v>0</v>
      </c>
      <c r="R5" s="44">
        <f t="shared" si="7"/>
        <v>0</v>
      </c>
      <c r="S5" s="45">
        <f>SUM(P5*118)</f>
        <v>0</v>
      </c>
      <c r="T5" s="182">
        <v>0</v>
      </c>
      <c r="U5" s="44">
        <f>SUM(T5*0)</f>
        <v>0</v>
      </c>
      <c r="V5" s="44">
        <f>T5*15</f>
        <v>0</v>
      </c>
      <c r="W5" s="45">
        <f>SUM(T5*118)</f>
        <v>0</v>
      </c>
      <c r="X5" s="182">
        <v>0</v>
      </c>
      <c r="Y5" s="44">
        <f t="shared" si="8"/>
        <v>0</v>
      </c>
      <c r="Z5" s="44">
        <f t="shared" si="9"/>
        <v>0</v>
      </c>
      <c r="AA5" s="45">
        <f>SUM(X5*118)</f>
        <v>0</v>
      </c>
      <c r="AB5" s="226">
        <f t="shared" ref="AB5:AB16" si="10">SUM(D5+H5+L5+P5+T5+X5)-C5</f>
        <v>0</v>
      </c>
    </row>
    <row r="6" spans="1:28" ht="24.75" customHeight="1" thickTop="1" thickBot="1">
      <c r="A6" s="431" t="s">
        <v>30</v>
      </c>
      <c r="B6" s="124" t="s">
        <v>31</v>
      </c>
      <c r="C6" s="136">
        <f>'Ex. List'!C5</f>
        <v>2</v>
      </c>
      <c r="D6" s="182">
        <v>1</v>
      </c>
      <c r="E6" s="46">
        <f t="shared" ref="E6:E8" si="11">SUM(D6*6)</f>
        <v>6</v>
      </c>
      <c r="F6" s="46">
        <f t="shared" ref="F6:F8" si="12">D6*6</f>
        <v>6</v>
      </c>
      <c r="G6" s="47">
        <f>SUM(D6*107)</f>
        <v>107</v>
      </c>
      <c r="H6" s="182">
        <v>0</v>
      </c>
      <c r="I6" s="46">
        <f t="shared" ref="I6:I8" si="13">SUM(H6*6)</f>
        <v>0</v>
      </c>
      <c r="J6" s="46">
        <f t="shared" ref="J6:J8" si="14">H6*6</f>
        <v>0</v>
      </c>
      <c r="K6" s="47">
        <f>SUM(H6*107)</f>
        <v>0</v>
      </c>
      <c r="L6" s="182">
        <v>0</v>
      </c>
      <c r="M6" s="46">
        <f t="shared" ref="M6:M8" si="15">SUM(L6*6)</f>
        <v>0</v>
      </c>
      <c r="N6" s="46">
        <f t="shared" ref="N6:N8" si="16">L6*6</f>
        <v>0</v>
      </c>
      <c r="O6" s="47">
        <f>SUM(L6*107)</f>
        <v>0</v>
      </c>
      <c r="P6" s="182">
        <v>0</v>
      </c>
      <c r="Q6" s="46">
        <f t="shared" ref="Q6:Q8" si="17">SUM(P6*6)</f>
        <v>0</v>
      </c>
      <c r="R6" s="46">
        <f t="shared" ref="R6:R8" si="18">P6*6</f>
        <v>0</v>
      </c>
      <c r="S6" s="47">
        <f>SUM(P6*107)</f>
        <v>0</v>
      </c>
      <c r="T6" s="182">
        <v>1</v>
      </c>
      <c r="U6" s="46">
        <f>SUM(T6*6)</f>
        <v>6</v>
      </c>
      <c r="V6" s="46">
        <f>T6*6</f>
        <v>6</v>
      </c>
      <c r="W6" s="47">
        <f>SUM(T6*107)</f>
        <v>107</v>
      </c>
      <c r="X6" s="182">
        <v>0</v>
      </c>
      <c r="Y6" s="46">
        <f t="shared" ref="Y6:Y8" si="19">SUM(X6*6)</f>
        <v>0</v>
      </c>
      <c r="Z6" s="46">
        <f t="shared" ref="Z6:Z8" si="20">X6*6</f>
        <v>0</v>
      </c>
      <c r="AA6" s="47">
        <f>SUM(X6*107)</f>
        <v>0</v>
      </c>
      <c r="AB6" s="226">
        <f t="shared" si="10"/>
        <v>0</v>
      </c>
    </row>
    <row r="7" spans="1:28" ht="24" customHeight="1" thickTop="1" thickBot="1">
      <c r="A7" s="432"/>
      <c r="B7" s="125" t="s">
        <v>32</v>
      </c>
      <c r="C7" s="137">
        <f>'Ex. List'!C6</f>
        <v>0</v>
      </c>
      <c r="D7" s="182">
        <v>0</v>
      </c>
      <c r="E7" s="48">
        <f t="shared" si="11"/>
        <v>0</v>
      </c>
      <c r="F7" s="48">
        <f t="shared" si="12"/>
        <v>0</v>
      </c>
      <c r="G7" s="49">
        <f>SUM(D7*125)</f>
        <v>0</v>
      </c>
      <c r="H7" s="182">
        <v>0</v>
      </c>
      <c r="I7" s="48">
        <f t="shared" si="13"/>
        <v>0</v>
      </c>
      <c r="J7" s="48">
        <f t="shared" si="14"/>
        <v>0</v>
      </c>
      <c r="K7" s="49">
        <f>SUM(H7*125)</f>
        <v>0</v>
      </c>
      <c r="L7" s="182">
        <v>0</v>
      </c>
      <c r="M7" s="48">
        <f t="shared" si="15"/>
        <v>0</v>
      </c>
      <c r="N7" s="48">
        <f t="shared" si="16"/>
        <v>0</v>
      </c>
      <c r="O7" s="49">
        <f>SUM(L7*125)</f>
        <v>0</v>
      </c>
      <c r="P7" s="182">
        <v>0</v>
      </c>
      <c r="Q7" s="48">
        <f t="shared" si="17"/>
        <v>0</v>
      </c>
      <c r="R7" s="48">
        <f t="shared" si="18"/>
        <v>0</v>
      </c>
      <c r="S7" s="49">
        <f>SUM(P7*125)</f>
        <v>0</v>
      </c>
      <c r="T7" s="182">
        <v>0</v>
      </c>
      <c r="U7" s="48">
        <f>SUM(T7*6)</f>
        <v>0</v>
      </c>
      <c r="V7" s="48">
        <f>T7*6</f>
        <v>0</v>
      </c>
      <c r="W7" s="49">
        <f>SUM(T7*125)</f>
        <v>0</v>
      </c>
      <c r="X7" s="182">
        <v>0</v>
      </c>
      <c r="Y7" s="48">
        <f t="shared" si="19"/>
        <v>0</v>
      </c>
      <c r="Z7" s="48">
        <f t="shared" si="20"/>
        <v>0</v>
      </c>
      <c r="AA7" s="49">
        <f>SUM(X7*125)</f>
        <v>0</v>
      </c>
      <c r="AB7" s="226">
        <f t="shared" si="10"/>
        <v>0</v>
      </c>
    </row>
    <row r="8" spans="1:28" ht="24" customHeight="1" thickTop="1" thickBot="1">
      <c r="A8" s="433"/>
      <c r="B8" s="125" t="s">
        <v>33</v>
      </c>
      <c r="C8" s="137">
        <f>'Ex. List'!C7</f>
        <v>0</v>
      </c>
      <c r="D8" s="182">
        <v>0</v>
      </c>
      <c r="E8" s="50">
        <f t="shared" si="11"/>
        <v>0</v>
      </c>
      <c r="F8" s="50">
        <f t="shared" si="12"/>
        <v>0</v>
      </c>
      <c r="G8" s="51">
        <f>SUM(D8*152)</f>
        <v>0</v>
      </c>
      <c r="H8" s="182">
        <v>0</v>
      </c>
      <c r="I8" s="50">
        <f t="shared" si="13"/>
        <v>0</v>
      </c>
      <c r="J8" s="50">
        <f t="shared" si="14"/>
        <v>0</v>
      </c>
      <c r="K8" s="51">
        <f>SUM(H8*152)</f>
        <v>0</v>
      </c>
      <c r="L8" s="182">
        <v>0</v>
      </c>
      <c r="M8" s="50">
        <f t="shared" si="15"/>
        <v>0</v>
      </c>
      <c r="N8" s="50">
        <f t="shared" si="16"/>
        <v>0</v>
      </c>
      <c r="O8" s="51">
        <f>SUM(L8*152)</f>
        <v>0</v>
      </c>
      <c r="P8" s="182">
        <v>0</v>
      </c>
      <c r="Q8" s="50">
        <f t="shared" si="17"/>
        <v>0</v>
      </c>
      <c r="R8" s="50">
        <f t="shared" si="18"/>
        <v>0</v>
      </c>
      <c r="S8" s="51">
        <f>SUM(P8*152)</f>
        <v>0</v>
      </c>
      <c r="T8" s="182">
        <v>0</v>
      </c>
      <c r="U8" s="50">
        <f>SUM(T8*6)</f>
        <v>0</v>
      </c>
      <c r="V8" s="50">
        <f>T8*6</f>
        <v>0</v>
      </c>
      <c r="W8" s="51">
        <f>SUM(T8*152)</f>
        <v>0</v>
      </c>
      <c r="X8" s="182">
        <v>0</v>
      </c>
      <c r="Y8" s="50">
        <f t="shared" si="19"/>
        <v>0</v>
      </c>
      <c r="Z8" s="50">
        <f t="shared" si="20"/>
        <v>0</v>
      </c>
      <c r="AA8" s="51">
        <f>SUM(X8*152)</f>
        <v>0</v>
      </c>
      <c r="AB8" s="226">
        <f t="shared" si="10"/>
        <v>0</v>
      </c>
    </row>
    <row r="9" spans="1:28" ht="24.75" customHeight="1" thickTop="1" thickBot="1">
      <c r="A9" s="422" t="s">
        <v>34</v>
      </c>
      <c r="B9" s="122" t="s">
        <v>35</v>
      </c>
      <c r="C9" s="136">
        <f>'Ex. List'!C8</f>
        <v>3</v>
      </c>
      <c r="D9" s="182">
        <v>1</v>
      </c>
      <c r="E9" s="42">
        <f t="shared" ref="E9:E11" si="21">SUM(D9*0)</f>
        <v>0</v>
      </c>
      <c r="F9" s="42">
        <f t="shared" ref="F9:F11" si="22">D9*0</f>
        <v>0</v>
      </c>
      <c r="G9" s="43">
        <f>SUM(D9*55)</f>
        <v>55</v>
      </c>
      <c r="H9" s="182">
        <v>0</v>
      </c>
      <c r="I9" s="42">
        <f t="shared" ref="I9:I11" si="23">SUM(H9*0)</f>
        <v>0</v>
      </c>
      <c r="J9" s="42">
        <f t="shared" ref="J9:J11" si="24">H9*0</f>
        <v>0</v>
      </c>
      <c r="K9" s="43">
        <f>SUM(H9*55)</f>
        <v>0</v>
      </c>
      <c r="L9" s="182">
        <v>2</v>
      </c>
      <c r="M9" s="42">
        <f t="shared" ref="M9:M11" si="25">SUM(L9*0)</f>
        <v>0</v>
      </c>
      <c r="N9" s="42">
        <f t="shared" ref="N9:N11" si="26">L9*0</f>
        <v>0</v>
      </c>
      <c r="O9" s="43">
        <f>SUM(L9*55)</f>
        <v>110</v>
      </c>
      <c r="P9" s="182">
        <v>0</v>
      </c>
      <c r="Q9" s="42">
        <f t="shared" ref="Q9:Q11" si="27">SUM(P9*0)</f>
        <v>0</v>
      </c>
      <c r="R9" s="42">
        <f t="shared" ref="R9:R11" si="28">P9*0</f>
        <v>0</v>
      </c>
      <c r="S9" s="43">
        <f>SUM(P9*55)</f>
        <v>0</v>
      </c>
      <c r="T9" s="182">
        <v>0</v>
      </c>
      <c r="U9" s="42">
        <f>SUM(T9*0)</f>
        <v>0</v>
      </c>
      <c r="V9" s="42">
        <f>T9*0</f>
        <v>0</v>
      </c>
      <c r="W9" s="43">
        <f>SUM(T9*55)</f>
        <v>0</v>
      </c>
      <c r="X9" s="182">
        <v>0</v>
      </c>
      <c r="Y9" s="42">
        <f t="shared" ref="Y9:Y11" si="29">SUM(X9*0)</f>
        <v>0</v>
      </c>
      <c r="Z9" s="42">
        <f t="shared" ref="Z9:Z11" si="30">X9*0</f>
        <v>0</v>
      </c>
      <c r="AA9" s="43">
        <f>SUM(X9*55)</f>
        <v>0</v>
      </c>
      <c r="AB9" s="226">
        <f t="shared" si="10"/>
        <v>0</v>
      </c>
    </row>
    <row r="10" spans="1:28" ht="24" customHeight="1" thickTop="1" thickBot="1">
      <c r="A10" s="423"/>
      <c r="B10" s="126" t="s">
        <v>32</v>
      </c>
      <c r="C10" s="137">
        <f>'Ex. List'!C9</f>
        <v>0</v>
      </c>
      <c r="D10" s="182">
        <v>0</v>
      </c>
      <c r="E10" s="52">
        <f t="shared" si="21"/>
        <v>0</v>
      </c>
      <c r="F10" s="52">
        <f t="shared" si="22"/>
        <v>0</v>
      </c>
      <c r="G10" s="53">
        <f>SUM(D10*73)</f>
        <v>0</v>
      </c>
      <c r="H10" s="182">
        <v>0</v>
      </c>
      <c r="I10" s="52">
        <f t="shared" si="23"/>
        <v>0</v>
      </c>
      <c r="J10" s="52">
        <f t="shared" si="24"/>
        <v>0</v>
      </c>
      <c r="K10" s="53">
        <f>SUM(H10*73)</f>
        <v>0</v>
      </c>
      <c r="L10" s="182">
        <v>0</v>
      </c>
      <c r="M10" s="52">
        <f t="shared" si="25"/>
        <v>0</v>
      </c>
      <c r="N10" s="52">
        <f t="shared" si="26"/>
        <v>0</v>
      </c>
      <c r="O10" s="53">
        <f>SUM(L10*73)</f>
        <v>0</v>
      </c>
      <c r="P10" s="182">
        <v>0</v>
      </c>
      <c r="Q10" s="52">
        <f t="shared" si="27"/>
        <v>0</v>
      </c>
      <c r="R10" s="52">
        <f t="shared" si="28"/>
        <v>0</v>
      </c>
      <c r="S10" s="53">
        <f>SUM(P10*73)</f>
        <v>0</v>
      </c>
      <c r="T10" s="182">
        <v>0</v>
      </c>
      <c r="U10" s="52">
        <f>SUM(T10*0)</f>
        <v>0</v>
      </c>
      <c r="V10" s="52">
        <f>T10*0</f>
        <v>0</v>
      </c>
      <c r="W10" s="53">
        <f>SUM(T10*73)</f>
        <v>0</v>
      </c>
      <c r="X10" s="182">
        <v>0</v>
      </c>
      <c r="Y10" s="52">
        <f t="shared" si="29"/>
        <v>0</v>
      </c>
      <c r="Z10" s="52">
        <f t="shared" si="30"/>
        <v>0</v>
      </c>
      <c r="AA10" s="53">
        <f>SUM(X10*73)</f>
        <v>0</v>
      </c>
      <c r="AB10" s="226">
        <f t="shared" si="10"/>
        <v>0</v>
      </c>
    </row>
    <row r="11" spans="1:28" ht="24" customHeight="1" thickTop="1" thickBot="1">
      <c r="A11" s="424"/>
      <c r="B11" s="126" t="s">
        <v>36</v>
      </c>
      <c r="C11" s="137">
        <f>'Ex. List'!C10</f>
        <v>0</v>
      </c>
      <c r="D11" s="182">
        <v>0</v>
      </c>
      <c r="E11" s="44">
        <f t="shared" si="21"/>
        <v>0</v>
      </c>
      <c r="F11" s="44">
        <f t="shared" si="22"/>
        <v>0</v>
      </c>
      <c r="G11" s="45">
        <f>SUM(D11*100)</f>
        <v>0</v>
      </c>
      <c r="H11" s="182">
        <v>0</v>
      </c>
      <c r="I11" s="44">
        <f t="shared" si="23"/>
        <v>0</v>
      </c>
      <c r="J11" s="44">
        <f t="shared" si="24"/>
        <v>0</v>
      </c>
      <c r="K11" s="45">
        <f>SUM(H11*100)</f>
        <v>0</v>
      </c>
      <c r="L11" s="182">
        <v>0</v>
      </c>
      <c r="M11" s="44">
        <f t="shared" si="25"/>
        <v>0</v>
      </c>
      <c r="N11" s="44">
        <f t="shared" si="26"/>
        <v>0</v>
      </c>
      <c r="O11" s="45">
        <f>SUM(L11*100)</f>
        <v>0</v>
      </c>
      <c r="P11" s="182">
        <v>0</v>
      </c>
      <c r="Q11" s="44">
        <f t="shared" si="27"/>
        <v>0</v>
      </c>
      <c r="R11" s="44">
        <f t="shared" si="28"/>
        <v>0</v>
      </c>
      <c r="S11" s="45">
        <f>SUM(P11*100)</f>
        <v>0</v>
      </c>
      <c r="T11" s="182">
        <v>0</v>
      </c>
      <c r="U11" s="44">
        <f>SUM(T11*0)</f>
        <v>0</v>
      </c>
      <c r="V11" s="44">
        <f>T11*0</f>
        <v>0</v>
      </c>
      <c r="W11" s="45">
        <f>SUM(T11*100)</f>
        <v>0</v>
      </c>
      <c r="X11" s="182">
        <v>0</v>
      </c>
      <c r="Y11" s="44">
        <f t="shared" si="29"/>
        <v>0</v>
      </c>
      <c r="Z11" s="44">
        <f t="shared" si="30"/>
        <v>0</v>
      </c>
      <c r="AA11" s="45">
        <f>SUM(X11*100)</f>
        <v>0</v>
      </c>
      <c r="AB11" s="226">
        <f t="shared" si="10"/>
        <v>0</v>
      </c>
    </row>
    <row r="12" spans="1:28" ht="23.25" customHeight="1" thickTop="1" thickBot="1">
      <c r="A12" s="434" t="s">
        <v>37</v>
      </c>
      <c r="B12" s="435"/>
      <c r="C12" s="136">
        <f>'Ex. List'!C11</f>
        <v>0</v>
      </c>
      <c r="D12" s="182">
        <v>0</v>
      </c>
      <c r="E12" s="54">
        <f>SUM(D12*7.5)</f>
        <v>0</v>
      </c>
      <c r="F12" s="54">
        <f>D12*7.5</f>
        <v>0</v>
      </c>
      <c r="G12" s="55">
        <f>SUM(D12*60)</f>
        <v>0</v>
      </c>
      <c r="H12" s="182">
        <v>0</v>
      </c>
      <c r="I12" s="54">
        <f>SUM(H12*7.5)</f>
        <v>0</v>
      </c>
      <c r="J12" s="54">
        <f>H12*7.5</f>
        <v>0</v>
      </c>
      <c r="K12" s="55">
        <f>SUM(H12*60)</f>
        <v>0</v>
      </c>
      <c r="L12" s="182">
        <v>0</v>
      </c>
      <c r="M12" s="54">
        <f>SUM(L12*7.5)</f>
        <v>0</v>
      </c>
      <c r="N12" s="54">
        <f>L12*7.5</f>
        <v>0</v>
      </c>
      <c r="O12" s="55">
        <f>SUM(L12*60)</f>
        <v>0</v>
      </c>
      <c r="P12" s="182">
        <v>0</v>
      </c>
      <c r="Q12" s="54">
        <f>SUM(P12*7.5)</f>
        <v>0</v>
      </c>
      <c r="R12" s="54">
        <f>P12*7.5</f>
        <v>0</v>
      </c>
      <c r="S12" s="55">
        <f>SUM(P12*60)</f>
        <v>0</v>
      </c>
      <c r="T12" s="182">
        <v>0</v>
      </c>
      <c r="U12" s="54">
        <f>SUM(T12*7.5)</f>
        <v>0</v>
      </c>
      <c r="V12" s="54">
        <f>T12*7.5</f>
        <v>0</v>
      </c>
      <c r="W12" s="55">
        <f>SUM(T12*60)</f>
        <v>0</v>
      </c>
      <c r="X12" s="182">
        <v>0</v>
      </c>
      <c r="Y12" s="54">
        <f>SUM(X12*7.5)</f>
        <v>0</v>
      </c>
      <c r="Z12" s="54">
        <f>X12*7.5</f>
        <v>0</v>
      </c>
      <c r="AA12" s="55">
        <f>SUM(X12*60)</f>
        <v>0</v>
      </c>
      <c r="AB12" s="226">
        <f t="shared" si="10"/>
        <v>0</v>
      </c>
    </row>
    <row r="13" spans="1:28" ht="24" customHeight="1" thickTop="1" thickBot="1">
      <c r="A13" s="127" t="s">
        <v>38</v>
      </c>
      <c r="B13" s="122" t="s">
        <v>39</v>
      </c>
      <c r="C13" s="136">
        <f>'Ex. List'!C12</f>
        <v>3</v>
      </c>
      <c r="D13" s="182">
        <v>1</v>
      </c>
      <c r="E13" s="56">
        <f>SUM(D13*2.5)</f>
        <v>2.5</v>
      </c>
      <c r="F13" s="56">
        <f>D13*2.5</f>
        <v>2.5</v>
      </c>
      <c r="G13" s="57">
        <f>SUM(D13*28)</f>
        <v>28</v>
      </c>
      <c r="H13" s="182">
        <v>0</v>
      </c>
      <c r="I13" s="56">
        <f>SUM(H13*2.5)</f>
        <v>0</v>
      </c>
      <c r="J13" s="56">
        <f>H13*2.5</f>
        <v>0</v>
      </c>
      <c r="K13" s="57">
        <f>SUM(H13*28)</f>
        <v>0</v>
      </c>
      <c r="L13" s="182">
        <v>2</v>
      </c>
      <c r="M13" s="56">
        <f>SUM(L13*2.5)</f>
        <v>5</v>
      </c>
      <c r="N13" s="56">
        <f>L13*2.5</f>
        <v>5</v>
      </c>
      <c r="O13" s="57">
        <f>SUM(L13*28)</f>
        <v>56</v>
      </c>
      <c r="P13" s="182">
        <v>0</v>
      </c>
      <c r="Q13" s="56">
        <f>SUM(P13*2.5)</f>
        <v>0</v>
      </c>
      <c r="R13" s="56">
        <f>P13*2.5</f>
        <v>0</v>
      </c>
      <c r="S13" s="57">
        <f>SUM(P13*28)</f>
        <v>0</v>
      </c>
      <c r="T13" s="182">
        <v>0</v>
      </c>
      <c r="U13" s="56">
        <f>SUM(T13*2.5)</f>
        <v>0</v>
      </c>
      <c r="V13" s="56">
        <f>T13*2.5</f>
        <v>0</v>
      </c>
      <c r="W13" s="57">
        <f>SUM(T13*28)</f>
        <v>0</v>
      </c>
      <c r="X13" s="182">
        <v>0</v>
      </c>
      <c r="Y13" s="56">
        <f>SUM(X13*2.5)</f>
        <v>0</v>
      </c>
      <c r="Z13" s="56">
        <f>X13*2.5</f>
        <v>0</v>
      </c>
      <c r="AA13" s="57">
        <f>SUM(X13*28)</f>
        <v>0</v>
      </c>
      <c r="AB13" s="226">
        <f t="shared" si="10"/>
        <v>0</v>
      </c>
    </row>
    <row r="14" spans="1:28" ht="24" customHeight="1" thickTop="1" thickBot="1">
      <c r="A14" s="434" t="s">
        <v>40</v>
      </c>
      <c r="B14" s="435"/>
      <c r="C14" s="136">
        <f>'Ex. List'!C13</f>
        <v>10</v>
      </c>
      <c r="D14" s="182">
        <v>0</v>
      </c>
      <c r="E14" s="54">
        <f>SUM(D14*(15*0.75))</f>
        <v>0</v>
      </c>
      <c r="F14" s="54">
        <f>D14*(15*0.25)</f>
        <v>0</v>
      </c>
      <c r="G14" s="55">
        <f>SUM(D14*60)</f>
        <v>0</v>
      </c>
      <c r="H14" s="182">
        <v>4</v>
      </c>
      <c r="I14" s="54">
        <f>SUM(H14*(15*0.75))</f>
        <v>45</v>
      </c>
      <c r="J14" s="54">
        <f>H14*(15*0.25)</f>
        <v>15</v>
      </c>
      <c r="K14" s="55">
        <f>SUM(H14*60)</f>
        <v>240</v>
      </c>
      <c r="L14" s="182">
        <v>0</v>
      </c>
      <c r="M14" s="54">
        <f>SUM(L14*(15*0.75))</f>
        <v>0</v>
      </c>
      <c r="N14" s="54">
        <f>L14*(15*0.25)</f>
        <v>0</v>
      </c>
      <c r="O14" s="55">
        <f>SUM(L14*60)</f>
        <v>0</v>
      </c>
      <c r="P14" s="182">
        <v>4</v>
      </c>
      <c r="Q14" s="54">
        <f>SUM(P14*(15*0.75))</f>
        <v>45</v>
      </c>
      <c r="R14" s="54">
        <f>P14*(15*0.25)</f>
        <v>15</v>
      </c>
      <c r="S14" s="55">
        <f>SUM(P14*60)</f>
        <v>240</v>
      </c>
      <c r="T14" s="182">
        <v>0</v>
      </c>
      <c r="U14" s="54">
        <f>SUM(T14*(15*0.75))</f>
        <v>0</v>
      </c>
      <c r="V14" s="54">
        <f>T14*(15*0.25)</f>
        <v>0</v>
      </c>
      <c r="W14" s="55">
        <f>SUM(T14*60)</f>
        <v>0</v>
      </c>
      <c r="X14" s="182">
        <v>2</v>
      </c>
      <c r="Y14" s="54">
        <f>SUM(X14*(15*0.75))</f>
        <v>22.5</v>
      </c>
      <c r="Z14" s="54">
        <f>X14*(15*0.25)</f>
        <v>7.5</v>
      </c>
      <c r="AA14" s="55">
        <f>SUM(X14*60)</f>
        <v>120</v>
      </c>
      <c r="AB14" s="226">
        <f t="shared" si="10"/>
        <v>0</v>
      </c>
    </row>
    <row r="15" spans="1:28" ht="24" customHeight="1" thickTop="1" thickBot="1">
      <c r="A15" s="436" t="s">
        <v>41</v>
      </c>
      <c r="B15" s="437"/>
      <c r="C15" s="136">
        <f>'Ex. List'!C14</f>
        <v>7.5</v>
      </c>
      <c r="D15" s="182">
        <v>2.5</v>
      </c>
      <c r="E15" s="56">
        <f>SUM(D15*0)</f>
        <v>0</v>
      </c>
      <c r="F15" s="56">
        <f>D15*0</f>
        <v>0</v>
      </c>
      <c r="G15" s="57">
        <f>SUM(D15*45)</f>
        <v>112.5</v>
      </c>
      <c r="H15" s="182">
        <v>0</v>
      </c>
      <c r="I15" s="56">
        <f>SUM(H15*0)</f>
        <v>0</v>
      </c>
      <c r="J15" s="56">
        <f>H15*0</f>
        <v>0</v>
      </c>
      <c r="K15" s="57">
        <f>SUM(H15*45)</f>
        <v>0</v>
      </c>
      <c r="L15" s="182">
        <v>3</v>
      </c>
      <c r="M15" s="56">
        <f>SUM(L15*0)</f>
        <v>0</v>
      </c>
      <c r="N15" s="56">
        <f>L15*0</f>
        <v>0</v>
      </c>
      <c r="O15" s="57">
        <f>SUM(L15*45)</f>
        <v>135</v>
      </c>
      <c r="P15" s="182">
        <v>0</v>
      </c>
      <c r="Q15" s="56">
        <f>SUM(P15*0)</f>
        <v>0</v>
      </c>
      <c r="R15" s="56">
        <f>P15*0</f>
        <v>0</v>
      </c>
      <c r="S15" s="57">
        <f>SUM(P15*45)</f>
        <v>0</v>
      </c>
      <c r="T15" s="182">
        <v>2</v>
      </c>
      <c r="U15" s="56">
        <f>SUM(T15*0)</f>
        <v>0</v>
      </c>
      <c r="V15" s="56">
        <f>T15*0</f>
        <v>0</v>
      </c>
      <c r="W15" s="57">
        <f>SUM(T15*45)</f>
        <v>90</v>
      </c>
      <c r="X15" s="182">
        <v>0</v>
      </c>
      <c r="Y15" s="56">
        <f>SUM(X15*0)</f>
        <v>0</v>
      </c>
      <c r="Z15" s="56">
        <f>X15*0</f>
        <v>0</v>
      </c>
      <c r="AA15" s="57">
        <f>SUM(X15*45)</f>
        <v>0</v>
      </c>
      <c r="AB15" s="226">
        <f t="shared" si="10"/>
        <v>0</v>
      </c>
    </row>
    <row r="16" spans="1:28" ht="24" customHeight="1" thickTop="1" thickBot="1">
      <c r="A16" s="434" t="s">
        <v>42</v>
      </c>
      <c r="B16" s="435"/>
      <c r="C16" s="136">
        <f>'Ex. List'!C15</f>
        <v>0</v>
      </c>
      <c r="D16" s="182">
        <v>0</v>
      </c>
      <c r="E16" s="54">
        <f>SUM(D16*2.5)</f>
        <v>0</v>
      </c>
      <c r="F16" s="54">
        <f>D16*2.5</f>
        <v>0</v>
      </c>
      <c r="G16" s="55">
        <f>SUM(D16*20)</f>
        <v>0</v>
      </c>
      <c r="H16" s="182">
        <v>0</v>
      </c>
      <c r="I16" s="54">
        <f>SUM(H16*2.5)</f>
        <v>0</v>
      </c>
      <c r="J16" s="54">
        <f>H16*2.5</f>
        <v>0</v>
      </c>
      <c r="K16" s="55">
        <f>SUM(H16*20)</f>
        <v>0</v>
      </c>
      <c r="L16" s="182">
        <v>0</v>
      </c>
      <c r="M16" s="54">
        <f>SUM(L16*2.5)</f>
        <v>0</v>
      </c>
      <c r="N16" s="54">
        <f>L16*2.5</f>
        <v>0</v>
      </c>
      <c r="O16" s="55">
        <f>SUM(L16*20)</f>
        <v>0</v>
      </c>
      <c r="P16" s="182">
        <v>0</v>
      </c>
      <c r="Q16" s="54">
        <f>SUM(P16*2.5)</f>
        <v>0</v>
      </c>
      <c r="R16" s="54">
        <f>P16*2.5</f>
        <v>0</v>
      </c>
      <c r="S16" s="55">
        <f>SUM(P16*20)</f>
        <v>0</v>
      </c>
      <c r="T16" s="182">
        <v>0</v>
      </c>
      <c r="U16" s="54">
        <f>SUM(T16*2.5)</f>
        <v>0</v>
      </c>
      <c r="V16" s="54">
        <f>T16*2.5</f>
        <v>0</v>
      </c>
      <c r="W16" s="55">
        <f>SUM(T16*20)</f>
        <v>0</v>
      </c>
      <c r="X16" s="182">
        <v>0</v>
      </c>
      <c r="Y16" s="54">
        <f>SUM(X16*2.5)</f>
        <v>0</v>
      </c>
      <c r="Z16" s="54">
        <f>X16*2.5</f>
        <v>0</v>
      </c>
      <c r="AA16" s="55">
        <f>SUM(X16*20)</f>
        <v>0</v>
      </c>
      <c r="AB16" s="226">
        <f t="shared" si="10"/>
        <v>0</v>
      </c>
    </row>
    <row r="17" spans="1:29" ht="24" hidden="1" customHeight="1" thickTop="1">
      <c r="A17" s="438" t="s">
        <v>43</v>
      </c>
      <c r="B17" s="439"/>
      <c r="C17" s="136"/>
      <c r="D17" s="240"/>
      <c r="E17" s="42">
        <f t="shared" ref="E17:G17" si="31">SUM(E4:E16)</f>
        <v>8.5</v>
      </c>
      <c r="F17" s="42">
        <f t="shared" si="31"/>
        <v>83.5</v>
      </c>
      <c r="G17" s="43">
        <f t="shared" si="31"/>
        <v>707.5</v>
      </c>
      <c r="H17" s="241"/>
      <c r="I17" s="42">
        <f t="shared" ref="I17:K17" si="32">SUM(I4:I16)</f>
        <v>45</v>
      </c>
      <c r="J17" s="42">
        <f t="shared" si="32"/>
        <v>15</v>
      </c>
      <c r="K17" s="43">
        <f t="shared" si="32"/>
        <v>240</v>
      </c>
      <c r="L17" s="240"/>
      <c r="M17" s="42">
        <f t="shared" ref="M17:O17" si="33">SUM(M4:M16)</f>
        <v>5</v>
      </c>
      <c r="N17" s="42">
        <f t="shared" si="33"/>
        <v>80</v>
      </c>
      <c r="O17" s="43">
        <f t="shared" si="33"/>
        <v>743</v>
      </c>
      <c r="P17" s="240"/>
      <c r="Q17" s="42">
        <f t="shared" ref="Q17:S17" si="34">SUM(Q4:Q16)</f>
        <v>45</v>
      </c>
      <c r="R17" s="42">
        <f t="shared" si="34"/>
        <v>15</v>
      </c>
      <c r="S17" s="43">
        <f t="shared" si="34"/>
        <v>240</v>
      </c>
      <c r="T17" s="240">
        <v>1.5</v>
      </c>
      <c r="U17" s="42">
        <f>SUM(U4:U16)</f>
        <v>6</v>
      </c>
      <c r="V17" s="42">
        <f>SUM(V4:V16)</f>
        <v>66</v>
      </c>
      <c r="W17" s="43">
        <f>SUM(W4:W16)</f>
        <v>521</v>
      </c>
      <c r="X17" s="240"/>
      <c r="Y17" s="42">
        <f t="shared" ref="Y17:AA17" si="35">SUM(Y4:Y16)</f>
        <v>22.5</v>
      </c>
      <c r="Z17" s="42">
        <f t="shared" si="35"/>
        <v>7.5</v>
      </c>
      <c r="AA17" s="43">
        <f t="shared" si="35"/>
        <v>120</v>
      </c>
      <c r="AB17" s="138"/>
    </row>
    <row r="18" spans="1:29" ht="24" hidden="1" customHeight="1" thickBot="1">
      <c r="A18" s="418" t="s">
        <v>44</v>
      </c>
      <c r="B18" s="419"/>
      <c r="C18" s="59"/>
      <c r="D18" s="242"/>
      <c r="E18" s="50">
        <f>'Ex. List'!F16*(2/10)</f>
        <v>26.400000000000002</v>
      </c>
      <c r="F18" s="50">
        <f>'Ex. List'!G16*(2/10)</f>
        <v>53.400000000000006</v>
      </c>
      <c r="G18" s="51">
        <f>'Ex. List'!H16*(2/10)</f>
        <v>509.90000000000003</v>
      </c>
      <c r="H18" s="243"/>
      <c r="I18" s="50">
        <f>'Ex. List'!F16*(1/10)</f>
        <v>13.200000000000001</v>
      </c>
      <c r="J18" s="50">
        <f>'Ex. List'!G16*(1/10)</f>
        <v>26.700000000000003</v>
      </c>
      <c r="K18" s="51">
        <f>'Ex. List'!H16*(1/10)</f>
        <v>254.95000000000002</v>
      </c>
      <c r="L18" s="242"/>
      <c r="M18" s="50">
        <f>'Ex. List'!F16*(3/10)</f>
        <v>39.6</v>
      </c>
      <c r="N18" s="50">
        <f>'Ex. List'!G16*(3/10)</f>
        <v>80.099999999999994</v>
      </c>
      <c r="O18" s="51">
        <f>'Ex. List'!H16*(3/10)</f>
        <v>764.85</v>
      </c>
      <c r="P18" s="242"/>
      <c r="Q18" s="50">
        <f>'Ex. List'!F16*(1/10)</f>
        <v>13.200000000000001</v>
      </c>
      <c r="R18" s="50">
        <f>'Ex. List'!G16*(1/10)</f>
        <v>26.700000000000003</v>
      </c>
      <c r="S18" s="51">
        <f>'Ex. List'!H16*(1/10)</f>
        <v>254.95000000000002</v>
      </c>
      <c r="T18" s="242"/>
      <c r="U18" s="50">
        <f>'Ex. List'!F16*(2/10)</f>
        <v>26.400000000000002</v>
      </c>
      <c r="V18" s="50">
        <f>'Ex. List'!G16*(2/10)</f>
        <v>53.400000000000006</v>
      </c>
      <c r="W18" s="51">
        <f>'Ex. List'!H16*(2/10)</f>
        <v>509.90000000000003</v>
      </c>
      <c r="X18" s="242"/>
      <c r="Y18" s="50">
        <f>'Ex. List'!F16*(1/10)</f>
        <v>13.200000000000001</v>
      </c>
      <c r="Z18" s="50">
        <f>'Ex. List'!G16*(1/10)</f>
        <v>26.700000000000003</v>
      </c>
      <c r="AA18" s="51">
        <f>'Ex. List'!H16*(1/10)</f>
        <v>254.95000000000002</v>
      </c>
      <c r="AB18" s="135"/>
    </row>
    <row r="19" spans="1:29" ht="24" hidden="1" customHeight="1" thickTop="1" thickBot="1">
      <c r="A19" s="416" t="s">
        <v>45</v>
      </c>
      <c r="B19" s="417"/>
      <c r="C19" s="119"/>
      <c r="D19" s="244"/>
      <c r="E19" s="120">
        <f t="shared" ref="E19:G19" si="36">SUM(E17-E18)</f>
        <v>-17.900000000000002</v>
      </c>
      <c r="F19" s="121">
        <f t="shared" si="36"/>
        <v>30.099999999999994</v>
      </c>
      <c r="G19" s="58">
        <f t="shared" si="36"/>
        <v>197.59999999999997</v>
      </c>
      <c r="H19" s="244"/>
      <c r="I19" s="120">
        <f t="shared" ref="I19:K19" si="37">SUM(I17-I18)</f>
        <v>31.799999999999997</v>
      </c>
      <c r="J19" s="121">
        <f t="shared" si="37"/>
        <v>-11.700000000000003</v>
      </c>
      <c r="K19" s="58">
        <f t="shared" si="37"/>
        <v>-14.950000000000017</v>
      </c>
      <c r="L19" s="244"/>
      <c r="M19" s="120">
        <f t="shared" ref="M19:O19" si="38">SUM(M17-M18)</f>
        <v>-34.6</v>
      </c>
      <c r="N19" s="121">
        <f t="shared" si="38"/>
        <v>-9.9999999999994316E-2</v>
      </c>
      <c r="O19" s="58">
        <f t="shared" si="38"/>
        <v>-21.850000000000023</v>
      </c>
      <c r="P19" s="244"/>
      <c r="Q19" s="120">
        <f t="shared" ref="Q19:S19" si="39">SUM(Q17-Q18)</f>
        <v>31.799999999999997</v>
      </c>
      <c r="R19" s="121">
        <f t="shared" si="39"/>
        <v>-11.700000000000003</v>
      </c>
      <c r="S19" s="58">
        <f t="shared" si="39"/>
        <v>-14.950000000000017</v>
      </c>
      <c r="T19" s="244"/>
      <c r="U19" s="120">
        <f>SUM(U17-U18)</f>
        <v>-20.400000000000002</v>
      </c>
      <c r="V19" s="121">
        <f>SUM(V17-V18)</f>
        <v>12.599999999999994</v>
      </c>
      <c r="W19" s="58">
        <f>SUM(W17-W18)</f>
        <v>11.099999999999966</v>
      </c>
      <c r="X19" s="244"/>
      <c r="Y19" s="120">
        <f t="shared" ref="Y19:AA19" si="40">SUM(Y17-Y18)</f>
        <v>9.2999999999999989</v>
      </c>
      <c r="Z19" s="121">
        <f t="shared" si="40"/>
        <v>-19.200000000000003</v>
      </c>
      <c r="AA19" s="58">
        <f t="shared" si="40"/>
        <v>-134.95000000000002</v>
      </c>
      <c r="AB19" s="119"/>
      <c r="AC19" s="245"/>
    </row>
    <row r="20" spans="1:29" ht="18.75" hidden="1" customHeight="1" thickBot="1">
      <c r="A20" s="412" t="s">
        <v>44</v>
      </c>
      <c r="B20" s="413"/>
      <c r="C20" s="59"/>
      <c r="D20" s="242"/>
      <c r="E20" s="50">
        <f>'Ex. List'!F16*(2/7)</f>
        <v>37.714285714285715</v>
      </c>
      <c r="F20" s="50">
        <f>'Ex. List'!G16*(2/7)</f>
        <v>76.285714285714278</v>
      </c>
      <c r="G20" s="51">
        <f>'Ex. List'!H16*(2/7)</f>
        <v>728.42857142857144</v>
      </c>
      <c r="H20" s="243"/>
      <c r="I20" s="50"/>
      <c r="J20" s="50"/>
      <c r="K20" s="51"/>
      <c r="L20" s="242"/>
      <c r="M20" s="50">
        <f>'Ex. List'!F16*(2/7)</f>
        <v>37.714285714285715</v>
      </c>
      <c r="N20" s="50">
        <f>'Ex. List'!G16*(2/7)</f>
        <v>76.285714285714278</v>
      </c>
      <c r="O20" s="51">
        <f>'Ex. List'!H16*(2/7)</f>
        <v>728.42857142857144</v>
      </c>
      <c r="P20" s="242"/>
      <c r="Q20" s="50"/>
      <c r="R20" s="50"/>
      <c r="S20" s="51"/>
      <c r="T20" s="242"/>
      <c r="U20" s="50">
        <f>'Ex. List'!F16*(2/7)</f>
        <v>37.714285714285715</v>
      </c>
      <c r="V20" s="50">
        <f>'Ex. List'!G16*(2/7)</f>
        <v>76.285714285714278</v>
      </c>
      <c r="W20" s="51">
        <f>'Ex. List'!H16*(2/7)</f>
        <v>728.42857142857144</v>
      </c>
      <c r="X20" s="242"/>
      <c r="Y20" s="50">
        <f>'Ex. List'!F16*(1/7)</f>
        <v>18.857142857142858</v>
      </c>
      <c r="Z20" s="50">
        <f>'Ex. List'!G16*(1/7)</f>
        <v>38.142857142857139</v>
      </c>
      <c r="AA20" s="51">
        <f>'Ex. List'!H16*(1/7)</f>
        <v>364.21428571428572</v>
      </c>
      <c r="AB20" s="135"/>
    </row>
    <row r="21" spans="1:29" ht="18.75" hidden="1" customHeight="1" thickTop="1" thickBot="1">
      <c r="A21" s="416" t="s">
        <v>45</v>
      </c>
      <c r="B21" s="417"/>
      <c r="C21" s="119"/>
      <c r="D21" s="244"/>
      <c r="E21" s="120">
        <f>SUM(E17-E20)</f>
        <v>-29.214285714285715</v>
      </c>
      <c r="F21" s="121">
        <f>SUM(F17-F20)</f>
        <v>7.2142857142857224</v>
      </c>
      <c r="G21" s="58">
        <f>SUM(G17-G20)</f>
        <v>-20.928571428571445</v>
      </c>
      <c r="H21" s="244"/>
      <c r="I21" s="120"/>
      <c r="J21" s="121"/>
      <c r="K21" s="58"/>
      <c r="L21" s="244"/>
      <c r="M21" s="120">
        <f>SUM(M17-M20)</f>
        <v>-32.714285714285715</v>
      </c>
      <c r="N21" s="121">
        <f>SUM(N17-N20)</f>
        <v>3.7142857142857224</v>
      </c>
      <c r="O21" s="58">
        <f>SUM(O17-O20)</f>
        <v>14.571428571428555</v>
      </c>
      <c r="P21" s="244"/>
      <c r="Q21" s="120"/>
      <c r="R21" s="121"/>
      <c r="S21" s="58"/>
      <c r="T21" s="244"/>
      <c r="U21" s="120">
        <f>SUM(U17-U20)</f>
        <v>-31.714285714285715</v>
      </c>
      <c r="V21" s="121">
        <f>SUM(V17-V20)</f>
        <v>-10.285714285714278</v>
      </c>
      <c r="W21" s="58">
        <f>SUM(W17-W20)</f>
        <v>-207.42857142857144</v>
      </c>
      <c r="X21" s="244"/>
      <c r="Y21" s="120">
        <f>SUM(Y17-Y20)</f>
        <v>3.6428571428571423</v>
      </c>
      <c r="Z21" s="121">
        <f>SUM(Z17-Z20)</f>
        <v>-30.642857142857139</v>
      </c>
      <c r="AA21" s="58">
        <f>SUM(AA17-AA20)</f>
        <v>-244.21428571428572</v>
      </c>
      <c r="AB21" s="119"/>
    </row>
    <row r="22" spans="1:29" ht="18.75" hidden="1" customHeight="1" thickBot="1">
      <c r="A22" s="412" t="s">
        <v>44</v>
      </c>
      <c r="B22" s="413"/>
      <c r="C22" s="59"/>
      <c r="D22" s="242"/>
      <c r="E22" s="50">
        <f>'Ex. List'!F16*(2/5)</f>
        <v>52.800000000000004</v>
      </c>
      <c r="F22" s="50">
        <f>'Ex. List'!G16*(2/5)</f>
        <v>106.80000000000001</v>
      </c>
      <c r="G22" s="51">
        <f>'Ex. List'!H16*(2/5)</f>
        <v>1019.8000000000001</v>
      </c>
      <c r="H22" s="243"/>
      <c r="I22" s="50"/>
      <c r="J22" s="50"/>
      <c r="K22" s="51"/>
      <c r="L22" s="242"/>
      <c r="M22" s="50">
        <f>'Ex. List'!F16*(2/5)</f>
        <v>52.800000000000004</v>
      </c>
      <c r="N22" s="50">
        <f>'Ex. List'!G16*(2/5)</f>
        <v>106.80000000000001</v>
      </c>
      <c r="O22" s="51">
        <f>'Ex. List'!H16*(2/5)</f>
        <v>1019.8000000000001</v>
      </c>
      <c r="P22" s="242"/>
      <c r="Q22" s="50"/>
      <c r="R22" s="50"/>
      <c r="S22" s="51"/>
      <c r="T22" s="242"/>
      <c r="U22" s="50">
        <f>'Ex. List'!F20*(1/5)</f>
        <v>0</v>
      </c>
      <c r="V22" s="50">
        <f>'Ex. List'!G16*(1/5)</f>
        <v>53.400000000000006</v>
      </c>
      <c r="W22" s="51">
        <f>'Ex. List'!H16*(1/5)</f>
        <v>509.90000000000003</v>
      </c>
      <c r="X22" s="242"/>
      <c r="Y22" s="50"/>
      <c r="Z22" s="50"/>
      <c r="AA22" s="51"/>
      <c r="AB22" s="135"/>
    </row>
    <row r="23" spans="1:29" ht="18.75" hidden="1" customHeight="1" thickTop="1" thickBot="1">
      <c r="A23" s="414" t="s">
        <v>45</v>
      </c>
      <c r="B23" s="415"/>
      <c r="C23" s="119"/>
      <c r="D23" s="244"/>
      <c r="E23" s="120">
        <f>SUM(E17-E22)</f>
        <v>-44.300000000000004</v>
      </c>
      <c r="F23" s="121">
        <f>SUM(F17-F22)</f>
        <v>-23.300000000000011</v>
      </c>
      <c r="G23" s="58">
        <f>SUM(G17-G22)</f>
        <v>-312.30000000000007</v>
      </c>
      <c r="H23" s="244"/>
      <c r="I23" s="120"/>
      <c r="J23" s="121"/>
      <c r="K23" s="58"/>
      <c r="L23" s="244"/>
      <c r="M23" s="120">
        <f>SUM(M17-M22)</f>
        <v>-47.800000000000004</v>
      </c>
      <c r="N23" s="121">
        <f>SUM(N17-N22)</f>
        <v>-26.800000000000011</v>
      </c>
      <c r="O23" s="58">
        <f>SUM(O17-O22)</f>
        <v>-276.80000000000007</v>
      </c>
      <c r="P23" s="244"/>
      <c r="Q23" s="120"/>
      <c r="R23" s="121"/>
      <c r="S23" s="58"/>
      <c r="T23" s="244"/>
      <c r="U23" s="120">
        <f>SUM(U17-U22)</f>
        <v>6</v>
      </c>
      <c r="V23" s="121">
        <f>SUM(V17-V22)</f>
        <v>12.599999999999994</v>
      </c>
      <c r="W23" s="58">
        <f>SUM(W17-W22)</f>
        <v>11.099999999999966</v>
      </c>
      <c r="X23" s="244"/>
      <c r="Y23" s="120"/>
      <c r="Z23" s="121"/>
      <c r="AA23" s="58"/>
      <c r="AB23" s="119"/>
    </row>
    <row r="24" spans="1:29" ht="18.75" customHeight="1" thickTop="1">
      <c r="A24" s="246" t="s">
        <v>177</v>
      </c>
      <c r="B24" s="247"/>
      <c r="C24" s="247"/>
      <c r="D24" s="247"/>
      <c r="E24" s="247"/>
      <c r="F24" s="247"/>
      <c r="G24" s="248"/>
      <c r="H24" s="249"/>
      <c r="I24" s="249"/>
      <c r="J24" s="249"/>
      <c r="K24" s="249"/>
      <c r="L24" s="249"/>
      <c r="M24" s="249"/>
      <c r="N24" s="249"/>
      <c r="O24" s="249"/>
      <c r="P24" s="249"/>
      <c r="Q24" s="249"/>
      <c r="R24" s="249"/>
      <c r="S24" s="249"/>
      <c r="T24" s="249"/>
      <c r="U24" s="249"/>
      <c r="V24" s="249"/>
      <c r="W24" s="249"/>
      <c r="X24" s="249"/>
      <c r="Y24" s="249"/>
      <c r="Z24" s="249"/>
      <c r="AA24" s="249"/>
      <c r="AB24" s="249"/>
    </row>
    <row r="25" spans="1:29" ht="18.75" customHeight="1">
      <c r="A25" s="250" t="s">
        <v>99</v>
      </c>
      <c r="B25" s="250"/>
      <c r="C25" s="250"/>
      <c r="D25" s="250"/>
      <c r="E25" s="250"/>
      <c r="F25" s="250"/>
      <c r="G25" s="250"/>
      <c r="H25" s="250"/>
      <c r="I25" s="250"/>
      <c r="J25" s="249"/>
      <c r="K25" s="249"/>
      <c r="L25" s="249"/>
      <c r="M25" s="249"/>
      <c r="N25" s="249"/>
      <c r="O25" s="249"/>
      <c r="P25" s="249"/>
      <c r="Q25" s="249"/>
      <c r="R25" s="249"/>
      <c r="S25" s="249"/>
      <c r="T25" s="249"/>
      <c r="U25" s="249"/>
      <c r="V25" s="249"/>
      <c r="W25" s="249"/>
      <c r="X25" s="249"/>
      <c r="Y25" s="249"/>
      <c r="Z25" s="249"/>
      <c r="AA25" s="249"/>
      <c r="AB25" s="249"/>
    </row>
    <row r="26" spans="1:29" ht="18.75" customHeight="1">
      <c r="A26" s="251"/>
      <c r="B26" s="252"/>
      <c r="C26" s="249"/>
      <c r="D26" s="249"/>
      <c r="E26" s="249"/>
      <c r="F26" s="249"/>
      <c r="G26" s="249"/>
      <c r="H26" s="249"/>
      <c r="I26" s="249"/>
      <c r="J26" s="249"/>
      <c r="K26" s="249"/>
      <c r="L26" s="249"/>
      <c r="M26" s="249"/>
      <c r="N26" s="249"/>
      <c r="O26" s="249"/>
      <c r="P26" s="249"/>
      <c r="Q26" s="249"/>
      <c r="R26" s="249"/>
      <c r="S26" s="249"/>
      <c r="T26" s="249"/>
      <c r="U26" s="249"/>
      <c r="V26" s="249"/>
      <c r="W26" s="249"/>
      <c r="X26" s="249"/>
      <c r="Y26" s="249"/>
      <c r="Z26" s="249"/>
      <c r="AA26" s="249"/>
      <c r="AB26" s="249"/>
    </row>
    <row r="27" spans="1:29" ht="18.75" customHeight="1">
      <c r="A27" s="251"/>
      <c r="B27" s="252"/>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row>
    <row r="28" spans="1:29" ht="18.75" customHeight="1">
      <c r="A28" s="251"/>
      <c r="B28" s="252"/>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row>
    <row r="29" spans="1:29" ht="18.75" customHeight="1">
      <c r="A29" s="251"/>
      <c r="B29" s="252"/>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row>
    <row r="30" spans="1:29" ht="18.75" customHeight="1">
      <c r="A30" s="251"/>
      <c r="B30" s="252"/>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row>
    <row r="31" spans="1:29" ht="18.75" customHeight="1">
      <c r="A31" s="251"/>
      <c r="B31" s="252"/>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row>
    <row r="32" spans="1:29" ht="18.75" customHeight="1">
      <c r="A32" s="251"/>
      <c r="B32" s="252"/>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row>
    <row r="33" spans="1:28" ht="18.75" customHeight="1">
      <c r="A33" s="251"/>
      <c r="B33" s="252"/>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row>
    <row r="34" spans="1:28" ht="18.75" customHeight="1">
      <c r="A34" s="251"/>
      <c r="B34" s="252"/>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row>
    <row r="35" spans="1:28" ht="18.75" customHeight="1">
      <c r="A35" s="251"/>
      <c r="B35" s="252"/>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row>
    <row r="36" spans="1:28" ht="18.75" customHeight="1">
      <c r="A36" s="251"/>
      <c r="B36" s="252"/>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row>
    <row r="37" spans="1:28" ht="18.75" customHeight="1">
      <c r="A37" s="251"/>
      <c r="B37" s="252"/>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row>
    <row r="38" spans="1:28" ht="18.75" customHeight="1">
      <c r="A38" s="251"/>
      <c r="B38" s="252"/>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row>
    <row r="39" spans="1:28" ht="18.75" customHeight="1">
      <c r="A39" s="251"/>
      <c r="B39" s="252"/>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row>
    <row r="40" spans="1:28" ht="18.75" customHeight="1">
      <c r="A40" s="251"/>
      <c r="B40" s="252"/>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row>
    <row r="41" spans="1:28" ht="18.75" customHeight="1">
      <c r="A41" s="251"/>
      <c r="B41" s="252"/>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row>
    <row r="42" spans="1:28" ht="18.75" customHeight="1">
      <c r="A42" s="251"/>
      <c r="B42" s="252"/>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row>
    <row r="43" spans="1:28" ht="18.75" customHeight="1">
      <c r="A43" s="251"/>
      <c r="B43" s="252"/>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row>
    <row r="44" spans="1:28" ht="18.75" customHeight="1">
      <c r="A44" s="251"/>
      <c r="B44" s="252"/>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row>
    <row r="45" spans="1:28" ht="18.75" customHeight="1">
      <c r="A45" s="251"/>
      <c r="B45" s="252"/>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row>
    <row r="46" spans="1:28" ht="18.75" customHeight="1">
      <c r="A46" s="251"/>
      <c r="B46" s="252"/>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row>
    <row r="47" spans="1:28" ht="18.75" customHeight="1">
      <c r="A47" s="251"/>
      <c r="B47" s="252"/>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row>
    <row r="48" spans="1:28" ht="18.75" customHeight="1">
      <c r="A48" s="251"/>
      <c r="B48" s="252"/>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row>
    <row r="49" spans="1:28" ht="18.75" customHeight="1">
      <c r="A49" s="251"/>
      <c r="B49" s="252"/>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row>
    <row r="50" spans="1:28" ht="18.75" customHeight="1">
      <c r="A50" s="251"/>
      <c r="B50" s="252"/>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row>
    <row r="51" spans="1:28" ht="18.75" customHeight="1">
      <c r="A51" s="251"/>
      <c r="B51" s="252"/>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row>
    <row r="52" spans="1:28" ht="18.75" customHeight="1">
      <c r="A52" s="251"/>
      <c r="B52" s="252"/>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row>
    <row r="53" spans="1:28" ht="18.75" customHeight="1">
      <c r="A53" s="251"/>
      <c r="B53" s="252"/>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row>
    <row r="54" spans="1:28" ht="18.75" customHeight="1">
      <c r="A54" s="251"/>
      <c r="B54" s="252"/>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row>
    <row r="55" spans="1:28" ht="18.75" customHeight="1">
      <c r="A55" s="251"/>
      <c r="B55" s="252"/>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row>
    <row r="56" spans="1:28" ht="18.75" customHeight="1">
      <c r="A56" s="251"/>
      <c r="B56" s="252"/>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row>
    <row r="57" spans="1:28" ht="18.75" customHeight="1">
      <c r="A57" s="251"/>
      <c r="B57" s="252"/>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row>
    <row r="58" spans="1:28" ht="18.75" customHeight="1">
      <c r="A58" s="251"/>
      <c r="B58" s="252"/>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row>
    <row r="59" spans="1:28" ht="18.75" customHeight="1">
      <c r="A59" s="251"/>
      <c r="B59" s="252"/>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row>
    <row r="60" spans="1:28" ht="18.75" customHeight="1">
      <c r="A60" s="251"/>
      <c r="B60" s="252"/>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row>
    <row r="61" spans="1:28" ht="18.75" customHeight="1">
      <c r="A61" s="251"/>
      <c r="B61" s="252"/>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row>
    <row r="62" spans="1:28" ht="18.75" customHeight="1">
      <c r="A62" s="251"/>
      <c r="B62" s="252"/>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row>
    <row r="63" spans="1:28" ht="18.75" customHeight="1">
      <c r="A63" s="251"/>
      <c r="B63" s="252"/>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row>
    <row r="64" spans="1:28" ht="18.75" customHeight="1">
      <c r="A64" s="251"/>
      <c r="B64" s="252"/>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row>
    <row r="65" spans="1:28" ht="18.75" customHeight="1">
      <c r="A65" s="251"/>
      <c r="B65" s="252"/>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row>
    <row r="66" spans="1:28" ht="18.75" customHeight="1">
      <c r="A66" s="251"/>
      <c r="B66" s="252"/>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row>
    <row r="67" spans="1:28" ht="18.75" customHeight="1">
      <c r="A67" s="251"/>
      <c r="B67" s="252"/>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row>
    <row r="68" spans="1:28" ht="18.75" customHeight="1">
      <c r="A68" s="251"/>
      <c r="B68" s="252"/>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row>
    <row r="69" spans="1:28" ht="18.75" customHeight="1">
      <c r="A69" s="251"/>
      <c r="B69" s="252"/>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row>
    <row r="70" spans="1:28" ht="18.75" customHeight="1">
      <c r="A70" s="251"/>
      <c r="B70" s="252"/>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row>
    <row r="71" spans="1:28" ht="18.75" customHeight="1">
      <c r="A71" s="251"/>
      <c r="B71" s="252"/>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row>
    <row r="72" spans="1:28" ht="18.75" customHeight="1">
      <c r="A72" s="251"/>
      <c r="B72" s="252"/>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row>
    <row r="73" spans="1:28" ht="18.75" customHeight="1">
      <c r="A73" s="251"/>
      <c r="B73" s="252"/>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row>
    <row r="74" spans="1:28" ht="18.75" customHeight="1">
      <c r="A74" s="251"/>
      <c r="B74" s="252"/>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row>
    <row r="75" spans="1:28" ht="18.75" customHeight="1">
      <c r="A75" s="251"/>
      <c r="B75" s="252"/>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row>
    <row r="76" spans="1:28" ht="18.75" customHeight="1">
      <c r="A76" s="251"/>
      <c r="B76" s="252"/>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row>
    <row r="77" spans="1:28" ht="18.75" customHeight="1">
      <c r="A77" s="251"/>
      <c r="B77" s="252"/>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row>
    <row r="78" spans="1:28" ht="18.75" customHeight="1">
      <c r="A78" s="251"/>
      <c r="B78" s="252"/>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row>
    <row r="79" spans="1:28" ht="18.75" customHeight="1">
      <c r="A79" s="251"/>
      <c r="B79" s="252"/>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row>
    <row r="80" spans="1:28" ht="18.75" customHeight="1">
      <c r="A80" s="251"/>
      <c r="B80" s="252"/>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row>
    <row r="81" spans="1:28" ht="18.75" customHeight="1">
      <c r="A81" s="251"/>
      <c r="B81" s="252"/>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row>
    <row r="82" spans="1:28" ht="18.75" customHeight="1">
      <c r="A82" s="251"/>
      <c r="B82" s="252"/>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row>
    <row r="83" spans="1:28" ht="18.75" customHeight="1">
      <c r="A83" s="251"/>
      <c r="B83" s="252"/>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row>
    <row r="84" spans="1:28" ht="18.75" customHeight="1">
      <c r="A84" s="251"/>
      <c r="B84" s="252"/>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row>
    <row r="85" spans="1:28" ht="18.75" customHeight="1">
      <c r="A85" s="251"/>
      <c r="B85" s="252"/>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row>
    <row r="86" spans="1:28" ht="18.75" customHeight="1">
      <c r="A86" s="251"/>
      <c r="B86" s="252"/>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row>
    <row r="87" spans="1:28" ht="18.75" customHeight="1">
      <c r="A87" s="251"/>
      <c r="B87" s="252"/>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row>
    <row r="88" spans="1:28" ht="18.75" customHeight="1">
      <c r="A88" s="251"/>
      <c r="B88" s="252"/>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row>
    <row r="89" spans="1:28" ht="18.75" customHeight="1">
      <c r="A89" s="251"/>
      <c r="B89" s="252"/>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row>
    <row r="90" spans="1:28" ht="18.75" customHeight="1">
      <c r="A90" s="251"/>
      <c r="B90" s="252"/>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row>
    <row r="91" spans="1:28" ht="18.75" customHeight="1">
      <c r="A91" s="251"/>
      <c r="B91" s="252"/>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row>
    <row r="92" spans="1:28" ht="18.75" customHeight="1">
      <c r="A92" s="251"/>
      <c r="B92" s="252"/>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row>
    <row r="93" spans="1:28" ht="18.75" customHeight="1">
      <c r="A93" s="251"/>
      <c r="B93" s="252"/>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row>
    <row r="94" spans="1:28" ht="18.75" customHeight="1">
      <c r="A94" s="251"/>
      <c r="B94" s="252"/>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row>
    <row r="95" spans="1:28" ht="18.75" customHeight="1">
      <c r="A95" s="251"/>
      <c r="B95" s="252"/>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row>
    <row r="96" spans="1:28" ht="18.75" customHeight="1">
      <c r="A96" s="251"/>
      <c r="B96" s="252"/>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row>
    <row r="97" spans="1:28" ht="18.75" customHeight="1">
      <c r="A97" s="251"/>
      <c r="B97" s="252"/>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row>
    <row r="98" spans="1:28" ht="18.75" customHeight="1">
      <c r="A98" s="251"/>
      <c r="B98" s="252"/>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row>
    <row r="99" spans="1:28" ht="18.75" customHeight="1">
      <c r="A99" s="251"/>
      <c r="B99" s="252"/>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row>
    <row r="100" spans="1:28" ht="18.75" customHeight="1">
      <c r="A100" s="251"/>
      <c r="B100" s="252"/>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row>
  </sheetData>
  <sheetProtection algorithmName="SHA-512" hashValue="2NFnxNvZK3iXKqsSpma6k4fKDU9CivT3zMbtBsbyF3cJPmNjNXgQR/J8dm7ruv9EsND7iY95hVEMBo0E06vzvw==" saltValue="AKiZQQBnEkaRPbPSI8lQ7Q==" spinCount="100000" sheet="1" objects="1" scenarios="1" formatColumns="0" formatRows="0"/>
  <mergeCells count="18">
    <mergeCell ref="A18:B18"/>
    <mergeCell ref="AB2:AB3"/>
    <mergeCell ref="A9:A11"/>
    <mergeCell ref="A2:A3"/>
    <mergeCell ref="B2:B3"/>
    <mergeCell ref="C2:C3"/>
    <mergeCell ref="A4:A5"/>
    <mergeCell ref="A6:A8"/>
    <mergeCell ref="A12:B12"/>
    <mergeCell ref="A14:B14"/>
    <mergeCell ref="A15:B15"/>
    <mergeCell ref="A16:B16"/>
    <mergeCell ref="A17:B17"/>
    <mergeCell ref="A22:B22"/>
    <mergeCell ref="A23:B23"/>
    <mergeCell ref="A20:B20"/>
    <mergeCell ref="A21:B21"/>
    <mergeCell ref="A19:B19"/>
  </mergeCells>
  <phoneticPr fontId="39" type="noConversion"/>
  <conditionalFormatting sqref="A6:B6 A9 A4:B4 B5 A13:B13 A14:A18 B7:B11">
    <cfRule type="colorScale" priority="191">
      <colorScale>
        <cfvo type="min"/>
        <cfvo type="percentile" val="50"/>
        <cfvo type="max"/>
        <color rgb="FF63BE7B"/>
        <color rgb="FFFFEB84"/>
        <color rgb="FFF8696B"/>
      </colorScale>
    </cfRule>
  </conditionalFormatting>
  <conditionalFormatting sqref="A2:B2">
    <cfRule type="colorScale" priority="192">
      <colorScale>
        <cfvo type="min"/>
        <cfvo type="percentile" val="50"/>
        <cfvo type="max"/>
        <color rgb="FF63BE7B"/>
        <color rgb="FFFFEB84"/>
        <color rgb="FFF8696B"/>
      </colorScale>
    </cfRule>
  </conditionalFormatting>
  <conditionalFormatting sqref="A12">
    <cfRule type="colorScale" priority="193">
      <colorScale>
        <cfvo type="min"/>
        <cfvo type="percentile" val="50"/>
        <cfvo type="max"/>
        <color rgb="FF63BE7B"/>
        <color rgb="FFFFEB84"/>
        <color rgb="FFF8696B"/>
      </colorScale>
    </cfRule>
  </conditionalFormatting>
  <conditionalFormatting sqref="C2">
    <cfRule type="colorScale" priority="190">
      <colorScale>
        <cfvo type="min"/>
        <cfvo type="percentile" val="50"/>
        <cfvo type="max"/>
        <color rgb="FF63BE7B"/>
        <color rgb="FFFFEB84"/>
        <color rgb="FFF8696B"/>
      </colorScale>
    </cfRule>
  </conditionalFormatting>
  <conditionalFormatting sqref="E19">
    <cfRule type="cellIs" dxfId="182" priority="184" operator="lessThan">
      <formula>-5</formula>
    </cfRule>
    <cfRule type="cellIs" dxfId="181" priority="185" operator="greaterThan">
      <formula>5</formula>
    </cfRule>
    <cfRule type="cellIs" dxfId="180" priority="186" operator="between">
      <formula>-5</formula>
      <formula>5</formula>
    </cfRule>
  </conditionalFormatting>
  <conditionalFormatting sqref="F19">
    <cfRule type="cellIs" dxfId="179" priority="181" operator="lessThan">
      <formula>-5</formula>
    </cfRule>
    <cfRule type="cellIs" dxfId="178" priority="182" operator="greaterThan">
      <formula>5</formula>
    </cfRule>
    <cfRule type="cellIs" dxfId="177" priority="183" operator="between">
      <formula>-5</formula>
      <formula>5</formula>
    </cfRule>
  </conditionalFormatting>
  <conditionalFormatting sqref="I19">
    <cfRule type="cellIs" dxfId="176" priority="178" operator="lessThan">
      <formula>-5</formula>
    </cfRule>
    <cfRule type="cellIs" dxfId="175" priority="179" operator="greaterThan">
      <formula>5</formula>
    </cfRule>
    <cfRule type="cellIs" dxfId="174" priority="180" operator="between">
      <formula>-5</formula>
      <formula>5</formula>
    </cfRule>
  </conditionalFormatting>
  <conditionalFormatting sqref="J19">
    <cfRule type="cellIs" dxfId="173" priority="175" operator="lessThan">
      <formula>-5</formula>
    </cfRule>
    <cfRule type="cellIs" dxfId="172" priority="176" operator="greaterThan">
      <formula>5</formula>
    </cfRule>
    <cfRule type="cellIs" dxfId="171" priority="177" operator="between">
      <formula>-5</formula>
      <formula>5</formula>
    </cfRule>
  </conditionalFormatting>
  <conditionalFormatting sqref="U19">
    <cfRule type="cellIs" dxfId="170" priority="172" operator="lessThan">
      <formula>-5</formula>
    </cfRule>
    <cfRule type="cellIs" dxfId="169" priority="173" operator="greaterThan">
      <formula>5</formula>
    </cfRule>
    <cfRule type="cellIs" dxfId="168" priority="174" operator="between">
      <formula>-5</formula>
      <formula>5</formula>
    </cfRule>
  </conditionalFormatting>
  <conditionalFormatting sqref="V19">
    <cfRule type="cellIs" dxfId="167" priority="169" operator="lessThan">
      <formula>-5</formula>
    </cfRule>
    <cfRule type="cellIs" dxfId="166" priority="170" operator="greaterThan">
      <formula>5</formula>
    </cfRule>
    <cfRule type="cellIs" dxfId="165" priority="171" operator="between">
      <formula>-5</formula>
      <formula>5</formula>
    </cfRule>
  </conditionalFormatting>
  <conditionalFormatting sqref="Q19">
    <cfRule type="cellIs" dxfId="164" priority="166" operator="lessThan">
      <formula>-5</formula>
    </cfRule>
    <cfRule type="cellIs" dxfId="163" priority="167" operator="greaterThan">
      <formula>5</formula>
    </cfRule>
    <cfRule type="cellIs" dxfId="162" priority="168" operator="between">
      <formula>-5</formula>
      <formula>5</formula>
    </cfRule>
  </conditionalFormatting>
  <conditionalFormatting sqref="R19">
    <cfRule type="cellIs" dxfId="161" priority="163" operator="lessThan">
      <formula>-5</formula>
    </cfRule>
    <cfRule type="cellIs" dxfId="160" priority="164" operator="greaterThan">
      <formula>5</formula>
    </cfRule>
    <cfRule type="cellIs" dxfId="159" priority="165" operator="between">
      <formula>-5</formula>
      <formula>5</formula>
    </cfRule>
  </conditionalFormatting>
  <conditionalFormatting sqref="M19">
    <cfRule type="cellIs" dxfId="158" priority="160" operator="lessThan">
      <formula>-5</formula>
    </cfRule>
    <cfRule type="cellIs" dxfId="157" priority="161" operator="greaterThan">
      <formula>5</formula>
    </cfRule>
    <cfRule type="cellIs" dxfId="156" priority="162" operator="between">
      <formula>-5</formula>
      <formula>5</formula>
    </cfRule>
  </conditionalFormatting>
  <conditionalFormatting sqref="N19">
    <cfRule type="cellIs" dxfId="155" priority="157" operator="lessThan">
      <formula>-5</formula>
    </cfRule>
    <cfRule type="cellIs" dxfId="154" priority="158" operator="greaterThan">
      <formula>5</formula>
    </cfRule>
    <cfRule type="cellIs" dxfId="153" priority="159" operator="between">
      <formula>-5</formula>
      <formula>5</formula>
    </cfRule>
  </conditionalFormatting>
  <conditionalFormatting sqref="Y19">
    <cfRule type="cellIs" dxfId="152" priority="154" operator="lessThan">
      <formula>-5</formula>
    </cfRule>
    <cfRule type="cellIs" dxfId="151" priority="155" operator="greaterThan">
      <formula>5</formula>
    </cfRule>
    <cfRule type="cellIs" dxfId="150" priority="156" operator="between">
      <formula>-5</formula>
      <formula>5</formula>
    </cfRule>
  </conditionalFormatting>
  <conditionalFormatting sqref="Z19">
    <cfRule type="cellIs" dxfId="149" priority="151" operator="lessThan">
      <formula>-5</formula>
    </cfRule>
    <cfRule type="cellIs" dxfId="148" priority="152" operator="greaterThan">
      <formula>5</formula>
    </cfRule>
    <cfRule type="cellIs" dxfId="147" priority="153" operator="between">
      <formula>-5</formula>
      <formula>5</formula>
    </cfRule>
  </conditionalFormatting>
  <conditionalFormatting sqref="AB4">
    <cfRule type="cellIs" dxfId="146" priority="150" operator="equal">
      <formula>0</formula>
    </cfRule>
  </conditionalFormatting>
  <conditionalFormatting sqref="AB17">
    <cfRule type="cellIs" dxfId="145" priority="148" operator="equal">
      <formula>0</formula>
    </cfRule>
  </conditionalFormatting>
  <conditionalFormatting sqref="X19">
    <cfRule type="cellIs" dxfId="144" priority="127" operator="lessThan">
      <formula>-5</formula>
    </cfRule>
    <cfRule type="cellIs" dxfId="143" priority="128" operator="greaterThan">
      <formula>5</formula>
    </cfRule>
    <cfRule type="cellIs" dxfId="142" priority="129" operator="between">
      <formula>-5</formula>
      <formula>5</formula>
    </cfRule>
  </conditionalFormatting>
  <conditionalFormatting sqref="D19">
    <cfRule type="cellIs" dxfId="141" priority="145" operator="lessThan">
      <formula>-5</formula>
    </cfRule>
    <cfRule type="cellIs" dxfId="140" priority="146" operator="greaterThan">
      <formula>5</formula>
    </cfRule>
    <cfRule type="cellIs" dxfId="139" priority="147" operator="between">
      <formula>-5</formula>
      <formula>5</formula>
    </cfRule>
  </conditionalFormatting>
  <conditionalFormatting sqref="C19">
    <cfRule type="cellIs" dxfId="138" priority="142" operator="lessThan">
      <formula>-5</formula>
    </cfRule>
    <cfRule type="cellIs" dxfId="137" priority="143" operator="greaterThan">
      <formula>5</formula>
    </cfRule>
    <cfRule type="cellIs" dxfId="136" priority="144" operator="between">
      <formula>-5</formula>
      <formula>5</formula>
    </cfRule>
  </conditionalFormatting>
  <conditionalFormatting sqref="H19">
    <cfRule type="cellIs" dxfId="135" priority="139" operator="lessThan">
      <formula>-5</formula>
    </cfRule>
    <cfRule type="cellIs" dxfId="134" priority="140" operator="greaterThan">
      <formula>5</formula>
    </cfRule>
    <cfRule type="cellIs" dxfId="133" priority="141" operator="between">
      <formula>-5</formula>
      <formula>5</formula>
    </cfRule>
  </conditionalFormatting>
  <conditionalFormatting sqref="T19">
    <cfRule type="cellIs" dxfId="132" priority="136" operator="lessThan">
      <formula>-5</formula>
    </cfRule>
    <cfRule type="cellIs" dxfId="131" priority="137" operator="greaterThan">
      <formula>5</formula>
    </cfRule>
    <cfRule type="cellIs" dxfId="130" priority="138" operator="between">
      <formula>-5</formula>
      <formula>5</formula>
    </cfRule>
  </conditionalFormatting>
  <conditionalFormatting sqref="P19">
    <cfRule type="cellIs" dxfId="129" priority="133" operator="lessThan">
      <formula>-5</formula>
    </cfRule>
    <cfRule type="cellIs" dxfId="128" priority="134" operator="greaterThan">
      <formula>5</formula>
    </cfRule>
    <cfRule type="cellIs" dxfId="127" priority="135" operator="between">
      <formula>-5</formula>
      <formula>5</formula>
    </cfRule>
  </conditionalFormatting>
  <conditionalFormatting sqref="L19">
    <cfRule type="cellIs" dxfId="126" priority="130" operator="lessThan">
      <formula>-5</formula>
    </cfRule>
    <cfRule type="cellIs" dxfId="125" priority="131" operator="greaterThan">
      <formula>5</formula>
    </cfRule>
    <cfRule type="cellIs" dxfId="124" priority="132" operator="between">
      <formula>-5</formula>
      <formula>5</formula>
    </cfRule>
  </conditionalFormatting>
  <conditionalFormatting sqref="AB19">
    <cfRule type="cellIs" dxfId="123" priority="124" operator="lessThan">
      <formula>-100</formula>
    </cfRule>
    <cfRule type="cellIs" dxfId="122" priority="125" operator="greaterThan">
      <formula>100</formula>
    </cfRule>
    <cfRule type="cellIs" dxfId="121" priority="126" operator="between">
      <formula>-100</formula>
      <formula>100</formula>
    </cfRule>
  </conditionalFormatting>
  <conditionalFormatting sqref="AB5:AB16">
    <cfRule type="cellIs" dxfId="120" priority="123" operator="equal">
      <formula>0</formula>
    </cfRule>
  </conditionalFormatting>
  <conditionalFormatting sqref="A20">
    <cfRule type="colorScale" priority="122">
      <colorScale>
        <cfvo type="min"/>
        <cfvo type="percentile" val="50"/>
        <cfvo type="max"/>
        <color rgb="FF63BE7B"/>
        <color rgb="FFFFEB84"/>
        <color rgb="FFF8696B"/>
      </colorScale>
    </cfRule>
  </conditionalFormatting>
  <conditionalFormatting sqref="E21">
    <cfRule type="cellIs" dxfId="119" priority="119" operator="lessThan">
      <formula>-5</formula>
    </cfRule>
    <cfRule type="cellIs" dxfId="118" priority="120" operator="greaterThan">
      <formula>5</formula>
    </cfRule>
    <cfRule type="cellIs" dxfId="117" priority="121" operator="between">
      <formula>-5</formula>
      <formula>5</formula>
    </cfRule>
  </conditionalFormatting>
  <conditionalFormatting sqref="F21">
    <cfRule type="cellIs" dxfId="116" priority="116" operator="lessThan">
      <formula>-5</formula>
    </cfRule>
    <cfRule type="cellIs" dxfId="115" priority="117" operator="greaterThan">
      <formula>5</formula>
    </cfRule>
    <cfRule type="cellIs" dxfId="114" priority="118" operator="between">
      <formula>-5</formula>
      <formula>5</formula>
    </cfRule>
  </conditionalFormatting>
  <conditionalFormatting sqref="I21">
    <cfRule type="cellIs" dxfId="113" priority="113" operator="lessThan">
      <formula>-5</formula>
    </cfRule>
    <cfRule type="cellIs" dxfId="112" priority="114" operator="greaterThan">
      <formula>5</formula>
    </cfRule>
    <cfRule type="cellIs" dxfId="111" priority="115" operator="between">
      <formula>-5</formula>
      <formula>5</formula>
    </cfRule>
  </conditionalFormatting>
  <conditionalFormatting sqref="J21">
    <cfRule type="cellIs" dxfId="110" priority="110" operator="lessThan">
      <formula>-5</formula>
    </cfRule>
    <cfRule type="cellIs" dxfId="109" priority="111" operator="greaterThan">
      <formula>5</formula>
    </cfRule>
    <cfRule type="cellIs" dxfId="108" priority="112" operator="between">
      <formula>-5</formula>
      <formula>5</formula>
    </cfRule>
  </conditionalFormatting>
  <conditionalFormatting sqref="U21">
    <cfRule type="cellIs" dxfId="107" priority="107" operator="lessThan">
      <formula>-5</formula>
    </cfRule>
    <cfRule type="cellIs" dxfId="106" priority="108" operator="greaterThan">
      <formula>5</formula>
    </cfRule>
    <cfRule type="cellIs" dxfId="105" priority="109" operator="between">
      <formula>-5</formula>
      <formula>5</formula>
    </cfRule>
  </conditionalFormatting>
  <conditionalFormatting sqref="V21">
    <cfRule type="cellIs" dxfId="104" priority="104" operator="lessThan">
      <formula>-5</formula>
    </cfRule>
    <cfRule type="cellIs" dxfId="103" priority="105" operator="greaterThan">
      <formula>5</formula>
    </cfRule>
    <cfRule type="cellIs" dxfId="102" priority="106" operator="between">
      <formula>-5</formula>
      <formula>5</formula>
    </cfRule>
  </conditionalFormatting>
  <conditionalFormatting sqref="Q21">
    <cfRule type="cellIs" dxfId="101" priority="101" operator="lessThan">
      <formula>-5</formula>
    </cfRule>
    <cfRule type="cellIs" dxfId="100" priority="102" operator="greaterThan">
      <formula>5</formula>
    </cfRule>
    <cfRule type="cellIs" dxfId="99" priority="103" operator="between">
      <formula>-5</formula>
      <formula>5</formula>
    </cfRule>
  </conditionalFormatting>
  <conditionalFormatting sqref="R21">
    <cfRule type="cellIs" dxfId="98" priority="98" operator="lessThan">
      <formula>-5</formula>
    </cfRule>
    <cfRule type="cellIs" dxfId="97" priority="99" operator="greaterThan">
      <formula>5</formula>
    </cfRule>
    <cfRule type="cellIs" dxfId="96" priority="100" operator="between">
      <formula>-5</formula>
      <formula>5</formula>
    </cfRule>
  </conditionalFormatting>
  <conditionalFormatting sqref="M21">
    <cfRule type="cellIs" dxfId="95" priority="95" operator="lessThan">
      <formula>-5</formula>
    </cfRule>
    <cfRule type="cellIs" dxfId="94" priority="96" operator="greaterThan">
      <formula>5</formula>
    </cfRule>
    <cfRule type="cellIs" dxfId="93" priority="97" operator="between">
      <formula>-5</formula>
      <formula>5</formula>
    </cfRule>
  </conditionalFormatting>
  <conditionalFormatting sqref="N21">
    <cfRule type="cellIs" dxfId="92" priority="92" operator="lessThan">
      <formula>-5</formula>
    </cfRule>
    <cfRule type="cellIs" dxfId="91" priority="93" operator="greaterThan">
      <formula>5</formula>
    </cfRule>
    <cfRule type="cellIs" dxfId="90" priority="94" operator="between">
      <formula>-5</formula>
      <formula>5</formula>
    </cfRule>
  </conditionalFormatting>
  <conditionalFormatting sqref="Y21">
    <cfRule type="cellIs" dxfId="89" priority="89" operator="lessThan">
      <formula>-5</formula>
    </cfRule>
    <cfRule type="cellIs" dxfId="88" priority="90" operator="greaterThan">
      <formula>5</formula>
    </cfRule>
    <cfRule type="cellIs" dxfId="87" priority="91" operator="between">
      <formula>-5</formula>
      <formula>5</formula>
    </cfRule>
  </conditionalFormatting>
  <conditionalFormatting sqref="Z21">
    <cfRule type="cellIs" dxfId="86" priority="86" operator="lessThan">
      <formula>-5</formula>
    </cfRule>
    <cfRule type="cellIs" dxfId="85" priority="87" operator="greaterThan">
      <formula>5</formula>
    </cfRule>
    <cfRule type="cellIs" dxfId="84" priority="88" operator="between">
      <formula>-5</formula>
      <formula>5</formula>
    </cfRule>
  </conditionalFormatting>
  <conditionalFormatting sqref="X21">
    <cfRule type="cellIs" dxfId="83" priority="65" operator="lessThan">
      <formula>-5</formula>
    </cfRule>
    <cfRule type="cellIs" dxfId="82" priority="66" operator="greaterThan">
      <formula>5</formula>
    </cfRule>
    <cfRule type="cellIs" dxfId="81" priority="67" operator="between">
      <formula>-5</formula>
      <formula>5</formula>
    </cfRule>
  </conditionalFormatting>
  <conditionalFormatting sqref="D21">
    <cfRule type="cellIs" dxfId="80" priority="83" operator="lessThan">
      <formula>-5</formula>
    </cfRule>
    <cfRule type="cellIs" dxfId="79" priority="84" operator="greaterThan">
      <formula>5</formula>
    </cfRule>
    <cfRule type="cellIs" dxfId="78" priority="85" operator="between">
      <formula>-5</formula>
      <formula>5</formula>
    </cfRule>
  </conditionalFormatting>
  <conditionalFormatting sqref="C21">
    <cfRule type="cellIs" dxfId="77" priority="80" operator="lessThan">
      <formula>-5</formula>
    </cfRule>
    <cfRule type="cellIs" dxfId="76" priority="81" operator="greaterThan">
      <formula>5</formula>
    </cfRule>
    <cfRule type="cellIs" dxfId="75" priority="82" operator="between">
      <formula>-5</formula>
      <formula>5</formula>
    </cfRule>
  </conditionalFormatting>
  <conditionalFormatting sqref="H21">
    <cfRule type="cellIs" dxfId="74" priority="77" operator="lessThan">
      <formula>-5</formula>
    </cfRule>
    <cfRule type="cellIs" dxfId="73" priority="78" operator="greaterThan">
      <formula>5</formula>
    </cfRule>
    <cfRule type="cellIs" dxfId="72" priority="79" operator="between">
      <formula>-5</formula>
      <formula>5</formula>
    </cfRule>
  </conditionalFormatting>
  <conditionalFormatting sqref="T21">
    <cfRule type="cellIs" dxfId="71" priority="74" operator="lessThan">
      <formula>-5</formula>
    </cfRule>
    <cfRule type="cellIs" dxfId="70" priority="75" operator="greaterThan">
      <formula>5</formula>
    </cfRule>
    <cfRule type="cellIs" dxfId="69" priority="76" operator="between">
      <formula>-5</formula>
      <formula>5</formula>
    </cfRule>
  </conditionalFormatting>
  <conditionalFormatting sqref="P21">
    <cfRule type="cellIs" dxfId="68" priority="71" operator="lessThan">
      <formula>-5</formula>
    </cfRule>
    <cfRule type="cellIs" dxfId="67" priority="72" operator="greaterThan">
      <formula>5</formula>
    </cfRule>
    <cfRule type="cellIs" dxfId="66" priority="73" operator="between">
      <formula>-5</formula>
      <formula>5</formula>
    </cfRule>
  </conditionalFormatting>
  <conditionalFormatting sqref="L21">
    <cfRule type="cellIs" dxfId="65" priority="68" operator="lessThan">
      <formula>-5</formula>
    </cfRule>
    <cfRule type="cellIs" dxfId="64" priority="69" operator="greaterThan">
      <formula>5</formula>
    </cfRule>
    <cfRule type="cellIs" dxfId="63" priority="70" operator="between">
      <formula>-5</formula>
      <formula>5</formula>
    </cfRule>
  </conditionalFormatting>
  <conditionalFormatting sqref="AB21">
    <cfRule type="cellIs" dxfId="62" priority="62" operator="lessThan">
      <formula>-100</formula>
    </cfRule>
    <cfRule type="cellIs" dxfId="61" priority="63" operator="greaterThan">
      <formula>100</formula>
    </cfRule>
    <cfRule type="cellIs" dxfId="60" priority="64" operator="between">
      <formula>-100</formula>
      <formula>100</formula>
    </cfRule>
  </conditionalFormatting>
  <conditionalFormatting sqref="A22">
    <cfRule type="colorScale" priority="61">
      <colorScale>
        <cfvo type="min"/>
        <cfvo type="percentile" val="50"/>
        <cfvo type="max"/>
        <color rgb="FF63BE7B"/>
        <color rgb="FFFFEB84"/>
        <color rgb="FFF8696B"/>
      </colorScale>
    </cfRule>
  </conditionalFormatting>
  <conditionalFormatting sqref="E23">
    <cfRule type="cellIs" dxfId="59" priority="58" operator="lessThan">
      <formula>-5</formula>
    </cfRule>
    <cfRule type="cellIs" dxfId="58" priority="59" operator="greaterThan">
      <formula>5</formula>
    </cfRule>
    <cfRule type="cellIs" dxfId="57" priority="60" operator="between">
      <formula>-5</formula>
      <formula>5</formula>
    </cfRule>
  </conditionalFormatting>
  <conditionalFormatting sqref="F23">
    <cfRule type="cellIs" dxfId="56" priority="55" operator="lessThan">
      <formula>-5</formula>
    </cfRule>
    <cfRule type="cellIs" dxfId="55" priority="56" operator="greaterThan">
      <formula>5</formula>
    </cfRule>
    <cfRule type="cellIs" dxfId="54" priority="57" operator="between">
      <formula>-5</formula>
      <formula>5</formula>
    </cfRule>
  </conditionalFormatting>
  <conditionalFormatting sqref="I23">
    <cfRule type="cellIs" dxfId="53" priority="52" operator="lessThan">
      <formula>-5</formula>
    </cfRule>
    <cfRule type="cellIs" dxfId="52" priority="53" operator="greaterThan">
      <formula>5</formula>
    </cfRule>
    <cfRule type="cellIs" dxfId="51" priority="54" operator="between">
      <formula>-5</formula>
      <formula>5</formula>
    </cfRule>
  </conditionalFormatting>
  <conditionalFormatting sqref="J23">
    <cfRule type="cellIs" dxfId="50" priority="49" operator="lessThan">
      <formula>-5</formula>
    </cfRule>
    <cfRule type="cellIs" dxfId="49" priority="50" operator="greaterThan">
      <formula>5</formula>
    </cfRule>
    <cfRule type="cellIs" dxfId="48" priority="51" operator="between">
      <formula>-5</formula>
      <formula>5</formula>
    </cfRule>
  </conditionalFormatting>
  <conditionalFormatting sqref="U23">
    <cfRule type="cellIs" dxfId="47" priority="46" operator="lessThan">
      <formula>-5</formula>
    </cfRule>
    <cfRule type="cellIs" dxfId="46" priority="47" operator="greaterThan">
      <formula>5</formula>
    </cfRule>
    <cfRule type="cellIs" dxfId="45" priority="48" operator="between">
      <formula>-5</formula>
      <formula>5</formula>
    </cfRule>
  </conditionalFormatting>
  <conditionalFormatting sqref="V23">
    <cfRule type="cellIs" dxfId="44" priority="43" operator="lessThan">
      <formula>-5</formula>
    </cfRule>
    <cfRule type="cellIs" dxfId="43" priority="44" operator="greaterThan">
      <formula>5</formula>
    </cfRule>
    <cfRule type="cellIs" dxfId="42" priority="45" operator="between">
      <formula>-5</formula>
      <formula>5</formula>
    </cfRule>
  </conditionalFormatting>
  <conditionalFormatting sqref="Q23">
    <cfRule type="cellIs" dxfId="41" priority="40" operator="lessThan">
      <formula>-5</formula>
    </cfRule>
    <cfRule type="cellIs" dxfId="40" priority="41" operator="greaterThan">
      <formula>5</formula>
    </cfRule>
    <cfRule type="cellIs" dxfId="39" priority="42" operator="between">
      <formula>-5</formula>
      <formula>5</formula>
    </cfRule>
  </conditionalFormatting>
  <conditionalFormatting sqref="R23">
    <cfRule type="cellIs" dxfId="38" priority="37" operator="lessThan">
      <formula>-5</formula>
    </cfRule>
    <cfRule type="cellIs" dxfId="37" priority="38" operator="greaterThan">
      <formula>5</formula>
    </cfRule>
    <cfRule type="cellIs" dxfId="36" priority="39" operator="between">
      <formula>-5</formula>
      <formula>5</formula>
    </cfRule>
  </conditionalFormatting>
  <conditionalFormatting sqref="M23">
    <cfRule type="cellIs" dxfId="35" priority="34" operator="lessThan">
      <formula>-5</formula>
    </cfRule>
    <cfRule type="cellIs" dxfId="34" priority="35" operator="greaterThan">
      <formula>5</formula>
    </cfRule>
    <cfRule type="cellIs" dxfId="33" priority="36" operator="between">
      <formula>-5</formula>
      <formula>5</formula>
    </cfRule>
  </conditionalFormatting>
  <conditionalFormatting sqref="N23">
    <cfRule type="cellIs" dxfId="32" priority="31" operator="lessThan">
      <formula>-5</formula>
    </cfRule>
    <cfRule type="cellIs" dxfId="31" priority="32" operator="greaterThan">
      <formula>5</formula>
    </cfRule>
    <cfRule type="cellIs" dxfId="30" priority="33" operator="between">
      <formula>-5</formula>
      <formula>5</formula>
    </cfRule>
  </conditionalFormatting>
  <conditionalFormatting sqref="Y23">
    <cfRule type="cellIs" dxfId="29" priority="28" operator="lessThan">
      <formula>-5</formula>
    </cfRule>
    <cfRule type="cellIs" dxfId="28" priority="29" operator="greaterThan">
      <formula>5</formula>
    </cfRule>
    <cfRule type="cellIs" dxfId="27" priority="30" operator="between">
      <formula>-5</formula>
      <formula>5</formula>
    </cfRule>
  </conditionalFormatting>
  <conditionalFormatting sqref="Z23">
    <cfRule type="cellIs" dxfId="26" priority="25" operator="lessThan">
      <formula>-5</formula>
    </cfRule>
    <cfRule type="cellIs" dxfId="25" priority="26" operator="greaterThan">
      <formula>5</formula>
    </cfRule>
    <cfRule type="cellIs" dxfId="24" priority="27" operator="between">
      <formula>-5</formula>
      <formula>5</formula>
    </cfRule>
  </conditionalFormatting>
  <conditionalFormatting sqref="X23">
    <cfRule type="cellIs" dxfId="23" priority="4" operator="lessThan">
      <formula>-5</formula>
    </cfRule>
    <cfRule type="cellIs" dxfId="22" priority="5" operator="greaterThan">
      <formula>5</formula>
    </cfRule>
    <cfRule type="cellIs" dxfId="21" priority="6" operator="between">
      <formula>-5</formula>
      <formula>5</formula>
    </cfRule>
  </conditionalFormatting>
  <conditionalFormatting sqref="D23">
    <cfRule type="cellIs" dxfId="20" priority="22" operator="lessThan">
      <formula>-5</formula>
    </cfRule>
    <cfRule type="cellIs" dxfId="19" priority="23" operator="greaterThan">
      <formula>5</formula>
    </cfRule>
    <cfRule type="cellIs" dxfId="18" priority="24" operator="between">
      <formula>-5</formula>
      <formula>5</formula>
    </cfRule>
  </conditionalFormatting>
  <conditionalFormatting sqref="C23">
    <cfRule type="cellIs" dxfId="17" priority="19" operator="lessThan">
      <formula>-5</formula>
    </cfRule>
    <cfRule type="cellIs" dxfId="16" priority="20" operator="greaterThan">
      <formula>5</formula>
    </cfRule>
    <cfRule type="cellIs" dxfId="15" priority="21" operator="between">
      <formula>-5</formula>
      <formula>5</formula>
    </cfRule>
  </conditionalFormatting>
  <conditionalFormatting sqref="H23">
    <cfRule type="cellIs" dxfId="14" priority="16" operator="lessThan">
      <formula>-5</formula>
    </cfRule>
    <cfRule type="cellIs" dxfId="13" priority="17" operator="greaterThan">
      <formula>5</formula>
    </cfRule>
    <cfRule type="cellIs" dxfId="12" priority="18" operator="between">
      <formula>-5</formula>
      <formula>5</formula>
    </cfRule>
  </conditionalFormatting>
  <conditionalFormatting sqref="T23">
    <cfRule type="cellIs" dxfId="11" priority="13" operator="lessThan">
      <formula>-5</formula>
    </cfRule>
    <cfRule type="cellIs" dxfId="10" priority="14" operator="greaterThan">
      <formula>5</formula>
    </cfRule>
    <cfRule type="cellIs" dxfId="9" priority="15" operator="between">
      <formula>-5</formula>
      <formula>5</formula>
    </cfRule>
  </conditionalFormatting>
  <conditionalFormatting sqref="P23">
    <cfRule type="cellIs" dxfId="8" priority="10" operator="lessThan">
      <formula>-5</formula>
    </cfRule>
    <cfRule type="cellIs" dxfId="7" priority="11" operator="greaterThan">
      <formula>5</formula>
    </cfRule>
    <cfRule type="cellIs" dxfId="6" priority="12" operator="between">
      <formula>-5</formula>
      <formula>5</formula>
    </cfRule>
  </conditionalFormatting>
  <conditionalFormatting sqref="L23">
    <cfRule type="cellIs" dxfId="5" priority="7" operator="lessThan">
      <formula>-5</formula>
    </cfRule>
    <cfRule type="cellIs" dxfId="4" priority="8" operator="greaterThan">
      <formula>5</formula>
    </cfRule>
    <cfRule type="cellIs" dxfId="3" priority="9" operator="between">
      <formula>-5</formula>
      <formula>5</formula>
    </cfRule>
  </conditionalFormatting>
  <conditionalFormatting sqref="AB23">
    <cfRule type="cellIs" dxfId="2" priority="1" operator="lessThan">
      <formula>-100</formula>
    </cfRule>
    <cfRule type="cellIs" dxfId="1" priority="2" operator="greaterThan">
      <formula>100</formula>
    </cfRule>
    <cfRule type="cellIs" dxfId="0" priority="3" operator="between">
      <formula>-100</formula>
      <formula>100</formula>
    </cfRule>
  </conditionalFormatting>
  <pageMargins left="0.25" right="0.25" top="0.75" bottom="0.75" header="0.3" footer="0.3"/>
  <pageSetup paperSize="9" scale="62"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nondiabetes">
                <anchor moveWithCells="1" sizeWithCells="1">
                  <from>
                    <xdr:col>0</xdr:col>
                    <xdr:colOff>68580</xdr:colOff>
                    <xdr:row>0</xdr:row>
                    <xdr:rowOff>76200</xdr:rowOff>
                  </from>
                  <to>
                    <xdr:col>0</xdr:col>
                    <xdr:colOff>1264920</xdr:colOff>
                    <xdr:row>0</xdr:row>
                    <xdr:rowOff>487680</xdr:rowOff>
                  </to>
                </anchor>
              </controlPr>
            </control>
          </mc:Choice>
        </mc:AlternateContent>
        <mc:AlternateContent xmlns:mc="http://schemas.openxmlformats.org/markup-compatibility/2006">
          <mc:Choice Requires="x14">
            <control shapeId="7172" r:id="rId5" name="Button 4">
              <controlPr defaultSize="0" print="0" autoFill="0" autoPict="0" macro="[0]!twototen">
                <anchor moveWithCells="1" sizeWithCells="1">
                  <from>
                    <xdr:col>0</xdr:col>
                    <xdr:colOff>76200</xdr:colOff>
                    <xdr:row>0</xdr:row>
                    <xdr:rowOff>541020</xdr:rowOff>
                  </from>
                  <to>
                    <xdr:col>0</xdr:col>
                    <xdr:colOff>1264920</xdr:colOff>
                    <xdr:row>0</xdr:row>
                    <xdr:rowOff>952500</xdr:rowOff>
                  </to>
                </anchor>
              </controlPr>
            </control>
          </mc:Choice>
        </mc:AlternateContent>
        <mc:AlternateContent xmlns:mc="http://schemas.openxmlformats.org/markup-compatibility/2006">
          <mc:Choice Requires="x14">
            <control shapeId="7173" r:id="rId6" name="Button 5">
              <controlPr defaultSize="0" print="0" autoFill="0" autoPict="0" macro="[0]!twotoseven">
                <anchor moveWithCells="1" sizeWithCells="1">
                  <from>
                    <xdr:col>0</xdr:col>
                    <xdr:colOff>1409700</xdr:colOff>
                    <xdr:row>0</xdr:row>
                    <xdr:rowOff>83820</xdr:rowOff>
                  </from>
                  <to>
                    <xdr:col>1</xdr:col>
                    <xdr:colOff>1188720</xdr:colOff>
                    <xdr:row>0</xdr:row>
                    <xdr:rowOff>487680</xdr:rowOff>
                  </to>
                </anchor>
              </controlPr>
            </control>
          </mc:Choice>
        </mc:AlternateContent>
        <mc:AlternateContent xmlns:mc="http://schemas.openxmlformats.org/markup-compatibility/2006">
          <mc:Choice Requires="x14">
            <control shapeId="7174" r:id="rId7" name="Button 6">
              <controlPr defaultSize="0" print="0" autoFill="0" autoPict="0" macro="[0]!twotofive">
                <anchor moveWithCells="1" sizeWithCells="1">
                  <from>
                    <xdr:col>0</xdr:col>
                    <xdr:colOff>1402080</xdr:colOff>
                    <xdr:row>0</xdr:row>
                    <xdr:rowOff>556260</xdr:rowOff>
                  </from>
                  <to>
                    <xdr:col>1</xdr:col>
                    <xdr:colOff>1181100</xdr:colOff>
                    <xdr:row>0</xdr:row>
                    <xdr:rowOff>952500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ورقة7">
    <pageSetUpPr fitToPage="1"/>
  </sheetPr>
  <dimension ref="A1:AG36"/>
  <sheetViews>
    <sheetView tabSelected="1" zoomScaleNormal="100" workbookViewId="0">
      <selection sqref="A1:A3"/>
    </sheetView>
  </sheetViews>
  <sheetFormatPr defaultColWidth="10.109375" defaultRowHeight="14.4"/>
  <cols>
    <col min="1" max="1" width="7.5546875" style="183" customWidth="1"/>
    <col min="2" max="2" width="10.109375" style="183"/>
    <col min="3" max="3" width="20.109375" style="183" customWidth="1"/>
    <col min="4" max="4" width="6.44140625" style="183" customWidth="1"/>
    <col min="5" max="5" width="19" style="183" customWidth="1"/>
    <col min="6" max="9" width="6.44140625" style="183" customWidth="1"/>
    <col min="10" max="10" width="19" style="183" customWidth="1"/>
    <col min="11" max="14" width="6.44140625" style="183" customWidth="1"/>
    <col min="15" max="15" width="19" style="183" customWidth="1"/>
    <col min="16" max="19" width="6.44140625" style="183" customWidth="1"/>
    <col min="20" max="20" width="19" style="183" customWidth="1"/>
    <col min="21" max="24" width="6.44140625" style="183" customWidth="1"/>
    <col min="25" max="25" width="19" style="183" customWidth="1"/>
    <col min="26" max="29" width="6.44140625" style="183" customWidth="1"/>
    <col min="30" max="30" width="19" style="183" customWidth="1"/>
    <col min="31" max="33" width="6.44140625" style="183" customWidth="1"/>
    <col min="34" max="16384" width="10.109375" style="183"/>
  </cols>
  <sheetData>
    <row r="1" spans="1:33" ht="21" customHeight="1" thickTop="1" thickBot="1">
      <c r="A1" s="456" t="s">
        <v>199</v>
      </c>
      <c r="B1" s="461"/>
      <c r="C1" s="464"/>
      <c r="D1" s="467" t="s">
        <v>46</v>
      </c>
      <c r="E1" s="453"/>
      <c r="F1" s="453"/>
      <c r="G1" s="453"/>
      <c r="H1" s="453"/>
      <c r="I1" s="467" t="s">
        <v>236</v>
      </c>
      <c r="J1" s="453"/>
      <c r="K1" s="453"/>
      <c r="L1" s="453"/>
      <c r="M1" s="453"/>
      <c r="N1" s="467" t="s">
        <v>48</v>
      </c>
      <c r="O1" s="453"/>
      <c r="P1" s="453"/>
      <c r="Q1" s="453"/>
      <c r="R1" s="453"/>
      <c r="S1" s="467" t="s">
        <v>236</v>
      </c>
      <c r="T1" s="453"/>
      <c r="U1" s="453"/>
      <c r="V1" s="453"/>
      <c r="W1" s="453"/>
      <c r="X1" s="467" t="s">
        <v>47</v>
      </c>
      <c r="Y1" s="453"/>
      <c r="Z1" s="453"/>
      <c r="AA1" s="453"/>
      <c r="AB1" s="453"/>
      <c r="AC1" s="467" t="s">
        <v>200</v>
      </c>
      <c r="AD1" s="453" t="s">
        <v>49</v>
      </c>
      <c r="AE1" s="453"/>
      <c r="AF1" s="453"/>
      <c r="AG1" s="453"/>
    </row>
    <row r="2" spans="1:33" ht="15" customHeight="1" thickTop="1" thickBot="1">
      <c r="A2" s="457"/>
      <c r="B2" s="462"/>
      <c r="C2" s="465"/>
      <c r="D2" s="451" t="s">
        <v>21</v>
      </c>
      <c r="E2" s="453" t="s">
        <v>201</v>
      </c>
      <c r="F2" s="453"/>
      <c r="G2" s="453"/>
      <c r="H2" s="453"/>
      <c r="I2" s="451" t="s">
        <v>21</v>
      </c>
      <c r="J2" s="453" t="s">
        <v>201</v>
      </c>
      <c r="K2" s="453"/>
      <c r="L2" s="453"/>
      <c r="M2" s="453"/>
      <c r="N2" s="451" t="s">
        <v>21</v>
      </c>
      <c r="O2" s="453" t="s">
        <v>201</v>
      </c>
      <c r="P2" s="453"/>
      <c r="Q2" s="453"/>
      <c r="R2" s="453"/>
      <c r="S2" s="451" t="s">
        <v>21</v>
      </c>
      <c r="T2" s="453" t="s">
        <v>201</v>
      </c>
      <c r="U2" s="453"/>
      <c r="V2" s="453"/>
      <c r="W2" s="453"/>
      <c r="X2" s="451" t="s">
        <v>21</v>
      </c>
      <c r="Y2" s="453" t="s">
        <v>201</v>
      </c>
      <c r="Z2" s="453"/>
      <c r="AA2" s="453"/>
      <c r="AB2" s="453"/>
      <c r="AC2" s="451" t="s">
        <v>21</v>
      </c>
      <c r="AD2" s="453" t="s">
        <v>201</v>
      </c>
      <c r="AE2" s="453"/>
      <c r="AF2" s="453"/>
      <c r="AG2" s="453"/>
    </row>
    <row r="3" spans="1:33" ht="28.5" customHeight="1" thickTop="1" thickBot="1">
      <c r="A3" s="457"/>
      <c r="B3" s="463" t="s">
        <v>20</v>
      </c>
      <c r="C3" s="466" t="s">
        <v>202</v>
      </c>
      <c r="D3" s="452"/>
      <c r="E3" s="189" t="s">
        <v>203</v>
      </c>
      <c r="F3" s="185" t="s">
        <v>55</v>
      </c>
      <c r="G3" s="185" t="s">
        <v>204</v>
      </c>
      <c r="H3" s="188" t="s">
        <v>205</v>
      </c>
      <c r="I3" s="452"/>
      <c r="J3" s="189" t="s">
        <v>203</v>
      </c>
      <c r="K3" s="185" t="s">
        <v>55</v>
      </c>
      <c r="L3" s="185" t="s">
        <v>204</v>
      </c>
      <c r="M3" s="188" t="s">
        <v>205</v>
      </c>
      <c r="N3" s="452"/>
      <c r="O3" s="189" t="s">
        <v>203</v>
      </c>
      <c r="P3" s="185" t="s">
        <v>55</v>
      </c>
      <c r="Q3" s="185" t="s">
        <v>204</v>
      </c>
      <c r="R3" s="188" t="s">
        <v>205</v>
      </c>
      <c r="S3" s="452"/>
      <c r="T3" s="189" t="s">
        <v>203</v>
      </c>
      <c r="U3" s="185" t="s">
        <v>55</v>
      </c>
      <c r="V3" s="185" t="s">
        <v>204</v>
      </c>
      <c r="W3" s="188" t="s">
        <v>205</v>
      </c>
      <c r="X3" s="452"/>
      <c r="Y3" s="189" t="s">
        <v>203</v>
      </c>
      <c r="Z3" s="185" t="s">
        <v>55</v>
      </c>
      <c r="AA3" s="185" t="s">
        <v>204</v>
      </c>
      <c r="AB3" s="188" t="s">
        <v>205</v>
      </c>
      <c r="AC3" s="452"/>
      <c r="AD3" s="189" t="s">
        <v>203</v>
      </c>
      <c r="AE3" s="185" t="s">
        <v>55</v>
      </c>
      <c r="AF3" s="185" t="s">
        <v>204</v>
      </c>
      <c r="AG3" s="188" t="s">
        <v>205</v>
      </c>
    </row>
    <row r="4" spans="1:33" ht="15" customHeight="1" thickTop="1">
      <c r="A4" s="454" t="s">
        <v>206</v>
      </c>
      <c r="B4" s="217" t="s">
        <v>28</v>
      </c>
      <c r="C4" s="217" t="s">
        <v>28</v>
      </c>
      <c r="D4" s="458">
        <f>DM!D4</f>
        <v>5</v>
      </c>
      <c r="E4" s="192" t="s">
        <v>207</v>
      </c>
      <c r="F4" s="192"/>
      <c r="G4" s="192"/>
      <c r="H4" s="192"/>
      <c r="I4" s="458">
        <f>DM!H4</f>
        <v>0</v>
      </c>
      <c r="J4" s="192" t="s">
        <v>207</v>
      </c>
      <c r="K4" s="192"/>
      <c r="L4" s="192"/>
      <c r="M4" s="192"/>
      <c r="N4" s="458">
        <f>DM!L4</f>
        <v>4</v>
      </c>
      <c r="O4" s="192" t="s">
        <v>207</v>
      </c>
      <c r="P4" s="192"/>
      <c r="Q4" s="192"/>
      <c r="R4" s="192"/>
      <c r="S4" s="458">
        <f>DM!P4</f>
        <v>0</v>
      </c>
      <c r="T4" s="192" t="s">
        <v>207</v>
      </c>
      <c r="U4" s="192"/>
      <c r="V4" s="192"/>
      <c r="W4" s="192"/>
      <c r="X4" s="458">
        <f>DM!T4</f>
        <v>4</v>
      </c>
      <c r="Y4" s="192" t="s">
        <v>207</v>
      </c>
      <c r="Z4" s="192"/>
      <c r="AA4" s="192"/>
      <c r="AB4" s="192"/>
      <c r="AC4" s="458">
        <f>DM!X4</f>
        <v>0</v>
      </c>
      <c r="AD4" s="192" t="s">
        <v>207</v>
      </c>
      <c r="AE4" s="192"/>
      <c r="AF4" s="192"/>
      <c r="AG4" s="192"/>
    </row>
    <row r="5" spans="1:33" ht="15" customHeight="1">
      <c r="A5" s="455"/>
      <c r="B5" s="218"/>
      <c r="C5" s="218" t="s">
        <v>208</v>
      </c>
      <c r="D5" s="459"/>
      <c r="E5" s="193" t="s">
        <v>207</v>
      </c>
      <c r="F5" s="193"/>
      <c r="G5" s="193"/>
      <c r="H5" s="193"/>
      <c r="I5" s="459"/>
      <c r="J5" s="193" t="s">
        <v>207</v>
      </c>
      <c r="K5" s="193"/>
      <c r="L5" s="193"/>
      <c r="M5" s="193"/>
      <c r="N5" s="459"/>
      <c r="O5" s="193" t="s">
        <v>207</v>
      </c>
      <c r="P5" s="193"/>
      <c r="Q5" s="193"/>
      <c r="R5" s="193"/>
      <c r="S5" s="459"/>
      <c r="T5" s="193" t="s">
        <v>207</v>
      </c>
      <c r="U5" s="193"/>
      <c r="V5" s="193"/>
      <c r="W5" s="193"/>
      <c r="X5" s="459"/>
      <c r="Y5" s="193" t="s">
        <v>255</v>
      </c>
      <c r="Z5" s="193">
        <v>1</v>
      </c>
      <c r="AA5" s="193" t="s">
        <v>257</v>
      </c>
      <c r="AB5" s="193"/>
      <c r="AC5" s="459"/>
      <c r="AD5" s="193" t="s">
        <v>207</v>
      </c>
      <c r="AE5" s="193"/>
      <c r="AF5" s="193"/>
      <c r="AG5" s="193"/>
    </row>
    <row r="6" spans="1:33" ht="15" customHeight="1">
      <c r="A6" s="455"/>
      <c r="B6" s="218"/>
      <c r="C6" s="218" t="s">
        <v>209</v>
      </c>
      <c r="D6" s="459"/>
      <c r="E6" s="193" t="s">
        <v>207</v>
      </c>
      <c r="F6" s="193"/>
      <c r="G6" s="193"/>
      <c r="H6" s="193"/>
      <c r="I6" s="459"/>
      <c r="J6" s="193" t="s">
        <v>207</v>
      </c>
      <c r="K6" s="193"/>
      <c r="L6" s="193"/>
      <c r="M6" s="193"/>
      <c r="N6" s="459"/>
      <c r="O6" s="193" t="s">
        <v>207</v>
      </c>
      <c r="P6" s="193"/>
      <c r="Q6" s="193"/>
      <c r="R6" s="193"/>
      <c r="S6" s="459"/>
      <c r="T6" s="193" t="s">
        <v>207</v>
      </c>
      <c r="U6" s="193"/>
      <c r="V6" s="193"/>
      <c r="W6" s="193"/>
      <c r="X6" s="459"/>
      <c r="Y6" s="193" t="s">
        <v>207</v>
      </c>
      <c r="Z6" s="193"/>
      <c r="AA6" s="193"/>
      <c r="AB6" s="193"/>
      <c r="AC6" s="459"/>
      <c r="AD6" s="193" t="s">
        <v>207</v>
      </c>
      <c r="AE6" s="193"/>
      <c r="AF6" s="193"/>
      <c r="AG6" s="193"/>
    </row>
    <row r="7" spans="1:33" ht="15" customHeight="1">
      <c r="A7" s="455"/>
      <c r="B7" s="218"/>
      <c r="C7" s="218" t="s">
        <v>210</v>
      </c>
      <c r="D7" s="460"/>
      <c r="E7" s="193" t="s">
        <v>207</v>
      </c>
      <c r="F7" s="193"/>
      <c r="G7" s="193"/>
      <c r="H7" s="193"/>
      <c r="I7" s="460"/>
      <c r="J7" s="193" t="s">
        <v>207</v>
      </c>
      <c r="K7" s="193"/>
      <c r="L7" s="193"/>
      <c r="M7" s="193"/>
      <c r="N7" s="460"/>
      <c r="O7" s="193" t="s">
        <v>207</v>
      </c>
      <c r="P7" s="193"/>
      <c r="Q7" s="193"/>
      <c r="R7" s="193"/>
      <c r="S7" s="460"/>
      <c r="T7" s="193" t="s">
        <v>207</v>
      </c>
      <c r="U7" s="193"/>
      <c r="V7" s="193"/>
      <c r="W7" s="193"/>
      <c r="X7" s="460"/>
      <c r="Y7" s="193" t="s">
        <v>207</v>
      </c>
      <c r="Z7" s="193"/>
      <c r="AA7" s="193"/>
      <c r="AB7" s="193"/>
      <c r="AC7" s="460"/>
      <c r="AD7" s="193" t="s">
        <v>207</v>
      </c>
      <c r="AE7" s="193"/>
      <c r="AF7" s="193"/>
      <c r="AG7" s="193"/>
    </row>
    <row r="8" spans="1:33" ht="26.25" customHeight="1" thickBot="1">
      <c r="A8" s="455"/>
      <c r="B8" s="219" t="s">
        <v>29</v>
      </c>
      <c r="C8" s="219"/>
      <c r="D8" s="186">
        <f>DM!D5</f>
        <v>0</v>
      </c>
      <c r="E8" s="194" t="s">
        <v>207</v>
      </c>
      <c r="F8" s="194"/>
      <c r="G8" s="194"/>
      <c r="H8" s="194"/>
      <c r="I8" s="186">
        <f>DM!H5</f>
        <v>0</v>
      </c>
      <c r="J8" s="194" t="s">
        <v>207</v>
      </c>
      <c r="K8" s="194"/>
      <c r="L8" s="194"/>
      <c r="M8" s="194"/>
      <c r="N8" s="186">
        <f>DM!L5</f>
        <v>1</v>
      </c>
      <c r="O8" s="194" t="s">
        <v>207</v>
      </c>
      <c r="P8" s="194"/>
      <c r="Q8" s="194"/>
      <c r="R8" s="194"/>
      <c r="S8" s="186">
        <f>DM!P5</f>
        <v>0</v>
      </c>
      <c r="T8" s="194" t="s">
        <v>207</v>
      </c>
      <c r="U8" s="194"/>
      <c r="V8" s="194"/>
      <c r="W8" s="194"/>
      <c r="X8" s="186">
        <f>DM!T5</f>
        <v>0</v>
      </c>
      <c r="Y8" s="194" t="s">
        <v>207</v>
      </c>
      <c r="Z8" s="194"/>
      <c r="AA8" s="194"/>
      <c r="AB8" s="194"/>
      <c r="AC8" s="186">
        <f>DM!X5</f>
        <v>0</v>
      </c>
      <c r="AD8" s="194" t="s">
        <v>207</v>
      </c>
      <c r="AE8" s="194"/>
      <c r="AF8" s="194"/>
      <c r="AG8" s="194"/>
    </row>
    <row r="9" spans="1:33" ht="15" customHeight="1" thickTop="1">
      <c r="A9" s="440" t="s">
        <v>211</v>
      </c>
      <c r="B9" s="217" t="s">
        <v>212</v>
      </c>
      <c r="C9" s="217"/>
      <c r="D9" s="190">
        <f>DM!D6</f>
        <v>1</v>
      </c>
      <c r="E9" s="192" t="s">
        <v>252</v>
      </c>
      <c r="F9" s="192">
        <v>1</v>
      </c>
      <c r="G9" s="192" t="s">
        <v>253</v>
      </c>
      <c r="H9" s="192">
        <v>150</v>
      </c>
      <c r="I9" s="190">
        <f>DM!H6</f>
        <v>0</v>
      </c>
      <c r="J9" s="192" t="s">
        <v>207</v>
      </c>
      <c r="K9" s="192"/>
      <c r="L9" s="192"/>
      <c r="M9" s="192"/>
      <c r="N9" s="190">
        <f>DM!L6</f>
        <v>0</v>
      </c>
      <c r="O9" s="192" t="s">
        <v>207</v>
      </c>
      <c r="P9" s="192"/>
      <c r="Q9" s="192"/>
      <c r="R9" s="192"/>
      <c r="S9" s="190">
        <f>DM!P6</f>
        <v>0</v>
      </c>
      <c r="T9" s="192" t="s">
        <v>207</v>
      </c>
      <c r="U9" s="192"/>
      <c r="V9" s="192"/>
      <c r="W9" s="192"/>
      <c r="X9" s="190">
        <f>DM!T6</f>
        <v>1</v>
      </c>
      <c r="Y9" s="192" t="s">
        <v>254</v>
      </c>
      <c r="Z9" s="192">
        <v>1</v>
      </c>
      <c r="AA9" s="192" t="s">
        <v>256</v>
      </c>
      <c r="AB9" s="192"/>
      <c r="AC9" s="190">
        <f>DM!X6</f>
        <v>0</v>
      </c>
      <c r="AD9" s="192" t="s">
        <v>207</v>
      </c>
      <c r="AE9" s="192"/>
      <c r="AF9" s="192"/>
      <c r="AG9" s="192"/>
    </row>
    <row r="10" spans="1:33" ht="15" customHeight="1">
      <c r="A10" s="441"/>
      <c r="B10" s="218" t="s">
        <v>213</v>
      </c>
      <c r="C10" s="218"/>
      <c r="D10" s="187">
        <f>DM!D7</f>
        <v>0</v>
      </c>
      <c r="E10" s="193" t="s">
        <v>207</v>
      </c>
      <c r="F10" s="193"/>
      <c r="G10" s="193"/>
      <c r="H10" s="193"/>
      <c r="I10" s="187">
        <f>DM!H7</f>
        <v>0</v>
      </c>
      <c r="J10" s="193" t="s">
        <v>207</v>
      </c>
      <c r="K10" s="193"/>
      <c r="L10" s="193"/>
      <c r="M10" s="193"/>
      <c r="N10" s="187">
        <f>DM!L7</f>
        <v>0</v>
      </c>
      <c r="O10" s="193" t="s">
        <v>207</v>
      </c>
      <c r="P10" s="193"/>
      <c r="Q10" s="193"/>
      <c r="R10" s="193"/>
      <c r="S10" s="187">
        <f>DM!P7</f>
        <v>0</v>
      </c>
      <c r="T10" s="193" t="s">
        <v>207</v>
      </c>
      <c r="U10" s="193"/>
      <c r="V10" s="193"/>
      <c r="W10" s="193"/>
      <c r="X10" s="187">
        <f>DM!T7</f>
        <v>0</v>
      </c>
      <c r="Y10" s="193" t="s">
        <v>207</v>
      </c>
      <c r="Z10" s="193"/>
      <c r="AA10" s="193"/>
      <c r="AB10" s="193"/>
      <c r="AC10" s="187">
        <f>DM!X7</f>
        <v>0</v>
      </c>
      <c r="AD10" s="193" t="s">
        <v>207</v>
      </c>
      <c r="AE10" s="193"/>
      <c r="AF10" s="193"/>
      <c r="AG10" s="193"/>
    </row>
    <row r="11" spans="1:33" ht="15" customHeight="1" thickBot="1">
      <c r="A11" s="450"/>
      <c r="B11" s="220" t="s">
        <v>33</v>
      </c>
      <c r="C11" s="220"/>
      <c r="D11" s="191">
        <f>DM!D8</f>
        <v>0</v>
      </c>
      <c r="E11" s="195" t="s">
        <v>207</v>
      </c>
      <c r="F11" s="195"/>
      <c r="G11" s="195"/>
      <c r="H11" s="195"/>
      <c r="I11" s="191">
        <f>DM!H8</f>
        <v>0</v>
      </c>
      <c r="J11" s="195" t="s">
        <v>207</v>
      </c>
      <c r="K11" s="195"/>
      <c r="L11" s="195"/>
      <c r="M11" s="195"/>
      <c r="N11" s="191">
        <f>DM!L8</f>
        <v>0</v>
      </c>
      <c r="O11" s="195" t="s">
        <v>207</v>
      </c>
      <c r="P11" s="195"/>
      <c r="Q11" s="195"/>
      <c r="R11" s="195"/>
      <c r="S11" s="191">
        <f>DM!P8</f>
        <v>0</v>
      </c>
      <c r="T11" s="195" t="s">
        <v>207</v>
      </c>
      <c r="U11" s="195"/>
      <c r="V11" s="195"/>
      <c r="W11" s="195"/>
      <c r="X11" s="191">
        <f>DM!T8</f>
        <v>0</v>
      </c>
      <c r="Y11" s="195" t="s">
        <v>207</v>
      </c>
      <c r="Z11" s="195"/>
      <c r="AA11" s="195"/>
      <c r="AB11" s="195"/>
      <c r="AC11" s="191">
        <f>DM!X8</f>
        <v>0</v>
      </c>
      <c r="AD11" s="195" t="s">
        <v>207</v>
      </c>
      <c r="AE11" s="195"/>
      <c r="AF11" s="195"/>
      <c r="AG11" s="195"/>
    </row>
    <row r="12" spans="1:33" ht="15" customHeight="1" thickTop="1">
      <c r="A12" s="440" t="s">
        <v>214</v>
      </c>
      <c r="B12" s="217" t="s">
        <v>35</v>
      </c>
      <c r="C12" s="217"/>
      <c r="D12" s="187">
        <f>DM!D9</f>
        <v>1</v>
      </c>
      <c r="E12" s="192" t="s">
        <v>251</v>
      </c>
      <c r="F12" s="192"/>
      <c r="G12" s="192"/>
      <c r="H12" s="192"/>
      <c r="I12" s="187">
        <f>DM!H9</f>
        <v>0</v>
      </c>
      <c r="J12" s="192" t="s">
        <v>207</v>
      </c>
      <c r="K12" s="192"/>
      <c r="L12" s="192"/>
      <c r="M12" s="192"/>
      <c r="N12" s="187">
        <f>DM!L9</f>
        <v>2</v>
      </c>
      <c r="O12" s="192" t="s">
        <v>250</v>
      </c>
      <c r="P12" s="192">
        <v>2</v>
      </c>
      <c r="Q12" s="192"/>
      <c r="R12" s="192">
        <v>56</v>
      </c>
      <c r="S12" s="187">
        <f>DM!P9</f>
        <v>0</v>
      </c>
      <c r="T12" s="192" t="s">
        <v>207</v>
      </c>
      <c r="U12" s="192"/>
      <c r="V12" s="192"/>
      <c r="W12" s="192"/>
      <c r="X12" s="187">
        <f>DM!T9</f>
        <v>0</v>
      </c>
      <c r="Y12" s="192" t="s">
        <v>207</v>
      </c>
      <c r="Z12" s="192"/>
      <c r="AA12" s="192"/>
      <c r="AB12" s="192"/>
      <c r="AC12" s="187">
        <f>DM!X9</f>
        <v>0</v>
      </c>
      <c r="AD12" s="192" t="s">
        <v>207</v>
      </c>
      <c r="AE12" s="192"/>
      <c r="AF12" s="192"/>
      <c r="AG12" s="192"/>
    </row>
    <row r="13" spans="1:33" ht="15" customHeight="1">
      <c r="A13" s="441"/>
      <c r="B13" s="218" t="s">
        <v>213</v>
      </c>
      <c r="C13" s="218"/>
      <c r="D13" s="187">
        <f>DM!D10</f>
        <v>0</v>
      </c>
      <c r="E13" s="193" t="s">
        <v>207</v>
      </c>
      <c r="F13" s="193"/>
      <c r="G13" s="193"/>
      <c r="H13" s="193"/>
      <c r="I13" s="187">
        <f>DM!H10</f>
        <v>0</v>
      </c>
      <c r="J13" s="193" t="s">
        <v>207</v>
      </c>
      <c r="K13" s="193"/>
      <c r="L13" s="193"/>
      <c r="M13" s="193"/>
      <c r="N13" s="187">
        <f>DM!L10</f>
        <v>0</v>
      </c>
      <c r="O13" s="193" t="s">
        <v>207</v>
      </c>
      <c r="P13" s="193"/>
      <c r="Q13" s="193"/>
      <c r="R13" s="193"/>
      <c r="S13" s="187">
        <f>DM!P10</f>
        <v>0</v>
      </c>
      <c r="T13" s="193" t="s">
        <v>207</v>
      </c>
      <c r="U13" s="193"/>
      <c r="V13" s="193"/>
      <c r="W13" s="193"/>
      <c r="X13" s="187">
        <f>DM!T10</f>
        <v>0</v>
      </c>
      <c r="Y13" s="193" t="s">
        <v>207</v>
      </c>
      <c r="Z13" s="193"/>
      <c r="AA13" s="193"/>
      <c r="AB13" s="193"/>
      <c r="AC13" s="187">
        <f>DM!X10</f>
        <v>0</v>
      </c>
      <c r="AD13" s="193" t="s">
        <v>207</v>
      </c>
      <c r="AE13" s="193"/>
      <c r="AF13" s="193"/>
      <c r="AG13" s="193"/>
    </row>
    <row r="14" spans="1:33" ht="15" customHeight="1" thickBot="1">
      <c r="A14" s="450"/>
      <c r="B14" s="220" t="s">
        <v>36</v>
      </c>
      <c r="C14" s="220"/>
      <c r="D14" s="187">
        <f>DM!D11</f>
        <v>0</v>
      </c>
      <c r="E14" s="195" t="s">
        <v>207</v>
      </c>
      <c r="F14" s="195"/>
      <c r="G14" s="195"/>
      <c r="H14" s="195"/>
      <c r="I14" s="187">
        <f>DM!H11</f>
        <v>0</v>
      </c>
      <c r="J14" s="195" t="s">
        <v>207</v>
      </c>
      <c r="K14" s="195"/>
      <c r="L14" s="195"/>
      <c r="M14" s="195"/>
      <c r="N14" s="187">
        <f>DM!L11</f>
        <v>0</v>
      </c>
      <c r="O14" s="195" t="s">
        <v>207</v>
      </c>
      <c r="P14" s="195"/>
      <c r="Q14" s="195"/>
      <c r="R14" s="195"/>
      <c r="S14" s="187">
        <f>DM!P11</f>
        <v>0</v>
      </c>
      <c r="T14" s="195" t="s">
        <v>207</v>
      </c>
      <c r="U14" s="195"/>
      <c r="V14" s="195"/>
      <c r="W14" s="195"/>
      <c r="X14" s="187">
        <f>DM!T11</f>
        <v>0</v>
      </c>
      <c r="Y14" s="195" t="s">
        <v>207</v>
      </c>
      <c r="Z14" s="195"/>
      <c r="AA14" s="195"/>
      <c r="AB14" s="195"/>
      <c r="AC14" s="187">
        <f>DM!X11</f>
        <v>0</v>
      </c>
      <c r="AD14" s="195" t="s">
        <v>207</v>
      </c>
      <c r="AE14" s="195"/>
      <c r="AF14" s="195"/>
      <c r="AG14" s="195"/>
    </row>
    <row r="15" spans="1:33" ht="15" customHeight="1" thickTop="1">
      <c r="A15" s="440" t="s">
        <v>37</v>
      </c>
      <c r="B15" s="444" t="s">
        <v>215</v>
      </c>
      <c r="C15" s="445"/>
      <c r="D15" s="468">
        <f>DM!D12</f>
        <v>0</v>
      </c>
      <c r="E15" s="196" t="s">
        <v>207</v>
      </c>
      <c r="F15" s="196"/>
      <c r="G15" s="196"/>
      <c r="H15" s="196"/>
      <c r="I15" s="468">
        <f>DM!H12</f>
        <v>0</v>
      </c>
      <c r="J15" s="196" t="s">
        <v>207</v>
      </c>
      <c r="K15" s="196"/>
      <c r="L15" s="196"/>
      <c r="M15" s="196"/>
      <c r="N15" s="468">
        <f>DM!L12</f>
        <v>0</v>
      </c>
      <c r="O15" s="196" t="s">
        <v>207</v>
      </c>
      <c r="P15" s="196"/>
      <c r="Q15" s="196"/>
      <c r="R15" s="196"/>
      <c r="S15" s="468">
        <f>DM!P12</f>
        <v>0</v>
      </c>
      <c r="T15" s="196" t="s">
        <v>207</v>
      </c>
      <c r="U15" s="196"/>
      <c r="V15" s="196"/>
      <c r="W15" s="196"/>
      <c r="X15" s="468">
        <f>DM!T12</f>
        <v>0</v>
      </c>
      <c r="Y15" s="196" t="s">
        <v>207</v>
      </c>
      <c r="Z15" s="196"/>
      <c r="AA15" s="196"/>
      <c r="AB15" s="196"/>
      <c r="AC15" s="468">
        <f>DM!X12</f>
        <v>0</v>
      </c>
      <c r="AD15" s="196" t="s">
        <v>207</v>
      </c>
      <c r="AE15" s="196"/>
      <c r="AF15" s="196"/>
      <c r="AG15" s="196"/>
    </row>
    <row r="16" spans="1:33" ht="15" customHeight="1">
      <c r="A16" s="441"/>
      <c r="B16" s="446" t="s">
        <v>216</v>
      </c>
      <c r="C16" s="447"/>
      <c r="D16" s="469"/>
      <c r="E16" s="197" t="s">
        <v>207</v>
      </c>
      <c r="F16" s="197"/>
      <c r="G16" s="197"/>
      <c r="H16" s="197"/>
      <c r="I16" s="469"/>
      <c r="J16" s="197" t="s">
        <v>207</v>
      </c>
      <c r="K16" s="197"/>
      <c r="L16" s="197"/>
      <c r="M16" s="197"/>
      <c r="N16" s="469"/>
      <c r="O16" s="197" t="s">
        <v>207</v>
      </c>
      <c r="P16" s="197"/>
      <c r="Q16" s="197"/>
      <c r="R16" s="197"/>
      <c r="S16" s="469"/>
      <c r="T16" s="197" t="s">
        <v>207</v>
      </c>
      <c r="U16" s="197"/>
      <c r="V16" s="197"/>
      <c r="W16" s="197"/>
      <c r="X16" s="469"/>
      <c r="Y16" s="197" t="s">
        <v>207</v>
      </c>
      <c r="Z16" s="197"/>
      <c r="AA16" s="197"/>
      <c r="AB16" s="197"/>
      <c r="AC16" s="469"/>
      <c r="AD16" s="197" t="s">
        <v>207</v>
      </c>
      <c r="AE16" s="197"/>
      <c r="AF16" s="197"/>
      <c r="AG16" s="197"/>
    </row>
    <row r="17" spans="1:33" ht="15" customHeight="1">
      <c r="A17" s="441"/>
      <c r="B17" s="446" t="s">
        <v>217</v>
      </c>
      <c r="C17" s="447"/>
      <c r="D17" s="469"/>
      <c r="E17" s="197" t="s">
        <v>207</v>
      </c>
      <c r="F17" s="197"/>
      <c r="G17" s="197"/>
      <c r="H17" s="197"/>
      <c r="I17" s="469"/>
      <c r="J17" s="197" t="s">
        <v>207</v>
      </c>
      <c r="K17" s="197"/>
      <c r="L17" s="197"/>
      <c r="M17" s="197"/>
      <c r="N17" s="469"/>
      <c r="O17" s="197" t="s">
        <v>207</v>
      </c>
      <c r="P17" s="197"/>
      <c r="Q17" s="197"/>
      <c r="R17" s="197"/>
      <c r="S17" s="469"/>
      <c r="T17" s="197" t="s">
        <v>207</v>
      </c>
      <c r="U17" s="197"/>
      <c r="V17" s="197"/>
      <c r="W17" s="197"/>
      <c r="X17" s="469"/>
      <c r="Y17" s="197" t="s">
        <v>207</v>
      </c>
      <c r="Z17" s="197"/>
      <c r="AA17" s="197"/>
      <c r="AB17" s="197"/>
      <c r="AC17" s="469"/>
      <c r="AD17" s="197" t="s">
        <v>207</v>
      </c>
      <c r="AE17" s="197"/>
      <c r="AF17" s="197"/>
      <c r="AG17" s="197"/>
    </row>
    <row r="18" spans="1:33" ht="15" customHeight="1">
      <c r="A18" s="442"/>
      <c r="B18" s="446" t="s">
        <v>218</v>
      </c>
      <c r="C18" s="447"/>
      <c r="D18" s="469"/>
      <c r="E18" s="197" t="s">
        <v>207</v>
      </c>
      <c r="F18" s="197"/>
      <c r="G18" s="197"/>
      <c r="H18" s="197"/>
      <c r="I18" s="469"/>
      <c r="J18" s="197" t="s">
        <v>207</v>
      </c>
      <c r="K18" s="197"/>
      <c r="L18" s="197"/>
      <c r="M18" s="197"/>
      <c r="N18" s="469"/>
      <c r="O18" s="197" t="s">
        <v>207</v>
      </c>
      <c r="P18" s="197"/>
      <c r="Q18" s="197"/>
      <c r="R18" s="197"/>
      <c r="S18" s="469"/>
      <c r="T18" s="197" t="s">
        <v>207</v>
      </c>
      <c r="U18" s="197"/>
      <c r="V18" s="197"/>
      <c r="W18" s="197"/>
      <c r="X18" s="469"/>
      <c r="Y18" s="197" t="s">
        <v>207</v>
      </c>
      <c r="Z18" s="197"/>
      <c r="AA18" s="197"/>
      <c r="AB18" s="197"/>
      <c r="AC18" s="469"/>
      <c r="AD18" s="197" t="s">
        <v>207</v>
      </c>
      <c r="AE18" s="197"/>
      <c r="AF18" s="197"/>
      <c r="AG18" s="197"/>
    </row>
    <row r="19" spans="1:33" ht="15" customHeight="1">
      <c r="A19" s="442"/>
      <c r="B19" s="446" t="s">
        <v>219</v>
      </c>
      <c r="C19" s="447"/>
      <c r="D19" s="469"/>
      <c r="E19" s="197" t="s">
        <v>207</v>
      </c>
      <c r="F19" s="197"/>
      <c r="G19" s="197"/>
      <c r="H19" s="197"/>
      <c r="I19" s="469"/>
      <c r="J19" s="197" t="s">
        <v>207</v>
      </c>
      <c r="K19" s="197"/>
      <c r="L19" s="197"/>
      <c r="M19" s="197"/>
      <c r="N19" s="469"/>
      <c r="O19" s="197" t="s">
        <v>207</v>
      </c>
      <c r="P19" s="197"/>
      <c r="Q19" s="197"/>
      <c r="R19" s="197"/>
      <c r="S19" s="469"/>
      <c r="T19" s="197" t="s">
        <v>207</v>
      </c>
      <c r="U19" s="197"/>
      <c r="V19" s="197"/>
      <c r="W19" s="197"/>
      <c r="X19" s="469"/>
      <c r="Y19" s="197" t="s">
        <v>207</v>
      </c>
      <c r="Z19" s="197"/>
      <c r="AA19" s="197"/>
      <c r="AB19" s="197"/>
      <c r="AC19" s="469"/>
      <c r="AD19" s="197" t="s">
        <v>207</v>
      </c>
      <c r="AE19" s="197"/>
      <c r="AF19" s="197"/>
      <c r="AG19" s="197"/>
    </row>
    <row r="20" spans="1:33" ht="15" customHeight="1">
      <c r="A20" s="442"/>
      <c r="B20" s="446" t="s">
        <v>220</v>
      </c>
      <c r="C20" s="447"/>
      <c r="D20" s="469"/>
      <c r="E20" s="197" t="s">
        <v>207</v>
      </c>
      <c r="F20" s="197"/>
      <c r="G20" s="197"/>
      <c r="H20" s="197"/>
      <c r="I20" s="469"/>
      <c r="J20" s="197" t="s">
        <v>207</v>
      </c>
      <c r="K20" s="197"/>
      <c r="L20" s="197"/>
      <c r="M20" s="197"/>
      <c r="N20" s="469"/>
      <c r="O20" s="197" t="s">
        <v>207</v>
      </c>
      <c r="P20" s="197"/>
      <c r="Q20" s="197"/>
      <c r="R20" s="197"/>
      <c r="S20" s="469"/>
      <c r="T20" s="197" t="s">
        <v>207</v>
      </c>
      <c r="U20" s="197"/>
      <c r="V20" s="197"/>
      <c r="W20" s="197"/>
      <c r="X20" s="469"/>
      <c r="Y20" s="197" t="s">
        <v>207</v>
      </c>
      <c r="Z20" s="197"/>
      <c r="AA20" s="197"/>
      <c r="AB20" s="197"/>
      <c r="AC20" s="469"/>
      <c r="AD20" s="197" t="s">
        <v>207</v>
      </c>
      <c r="AE20" s="197"/>
      <c r="AF20" s="197"/>
      <c r="AG20" s="197"/>
    </row>
    <row r="21" spans="1:33" ht="15" customHeight="1" thickBot="1">
      <c r="A21" s="443"/>
      <c r="B21" s="448" t="s">
        <v>221</v>
      </c>
      <c r="C21" s="449"/>
      <c r="D21" s="470"/>
      <c r="E21" s="198" t="s">
        <v>207</v>
      </c>
      <c r="F21" s="198"/>
      <c r="G21" s="198"/>
      <c r="H21" s="198"/>
      <c r="I21" s="470"/>
      <c r="J21" s="198" t="s">
        <v>207</v>
      </c>
      <c r="K21" s="198"/>
      <c r="L21" s="198"/>
      <c r="M21" s="198"/>
      <c r="N21" s="470"/>
      <c r="O21" s="198" t="s">
        <v>207</v>
      </c>
      <c r="P21" s="198"/>
      <c r="Q21" s="198"/>
      <c r="R21" s="198"/>
      <c r="S21" s="470"/>
      <c r="T21" s="198" t="s">
        <v>207</v>
      </c>
      <c r="U21" s="198"/>
      <c r="V21" s="198"/>
      <c r="W21" s="198"/>
      <c r="X21" s="470"/>
      <c r="Y21" s="198" t="s">
        <v>207</v>
      </c>
      <c r="Z21" s="198"/>
      <c r="AA21" s="198"/>
      <c r="AB21" s="198"/>
      <c r="AC21" s="470"/>
      <c r="AD21" s="198" t="s">
        <v>207</v>
      </c>
      <c r="AE21" s="198"/>
      <c r="AF21" s="198"/>
      <c r="AG21" s="198"/>
    </row>
    <row r="22" spans="1:33" ht="15" customHeight="1" thickTop="1">
      <c r="A22" s="440" t="s">
        <v>222</v>
      </c>
      <c r="B22" s="444" t="s">
        <v>223</v>
      </c>
      <c r="C22" s="445"/>
      <c r="D22" s="471">
        <f>DM!D13</f>
        <v>1</v>
      </c>
      <c r="E22" s="192" t="s">
        <v>207</v>
      </c>
      <c r="F22" s="192"/>
      <c r="G22" s="192"/>
      <c r="H22" s="192"/>
      <c r="I22" s="471">
        <f>DM!H13</f>
        <v>0</v>
      </c>
      <c r="J22" s="192" t="s">
        <v>207</v>
      </c>
      <c r="K22" s="192"/>
      <c r="L22" s="192"/>
      <c r="M22" s="192"/>
      <c r="N22" s="471">
        <f>DM!L13</f>
        <v>2</v>
      </c>
      <c r="O22" s="192" t="s">
        <v>207</v>
      </c>
      <c r="P22" s="192"/>
      <c r="Q22" s="192"/>
      <c r="R22" s="192"/>
      <c r="S22" s="471">
        <f>DM!P13</f>
        <v>0</v>
      </c>
      <c r="T22" s="192" t="s">
        <v>207</v>
      </c>
      <c r="U22" s="192"/>
      <c r="V22" s="192"/>
      <c r="W22" s="192"/>
      <c r="X22" s="471">
        <f>DM!T13</f>
        <v>0</v>
      </c>
      <c r="Y22" s="192" t="s">
        <v>207</v>
      </c>
      <c r="Z22" s="192"/>
      <c r="AA22" s="192"/>
      <c r="AB22" s="192"/>
      <c r="AC22" s="471">
        <f>DM!X13</f>
        <v>0</v>
      </c>
      <c r="AD22" s="192" t="s">
        <v>207</v>
      </c>
      <c r="AE22" s="192"/>
      <c r="AF22" s="192"/>
      <c r="AG22" s="192"/>
    </row>
    <row r="23" spans="1:33" ht="15" customHeight="1" thickBot="1">
      <c r="A23" s="450"/>
      <c r="B23" s="448" t="s">
        <v>224</v>
      </c>
      <c r="C23" s="449"/>
      <c r="D23" s="470"/>
      <c r="E23" s="195" t="s">
        <v>207</v>
      </c>
      <c r="F23" s="195"/>
      <c r="G23" s="195"/>
      <c r="H23" s="195"/>
      <c r="I23" s="470"/>
      <c r="J23" s="195" t="s">
        <v>207</v>
      </c>
      <c r="K23" s="195"/>
      <c r="L23" s="195"/>
      <c r="M23" s="195"/>
      <c r="N23" s="470"/>
      <c r="O23" s="195" t="s">
        <v>207</v>
      </c>
      <c r="P23" s="195"/>
      <c r="Q23" s="195"/>
      <c r="R23" s="195"/>
      <c r="S23" s="470"/>
      <c r="T23" s="195" t="s">
        <v>207</v>
      </c>
      <c r="U23" s="195"/>
      <c r="V23" s="195"/>
      <c r="W23" s="195"/>
      <c r="X23" s="470"/>
      <c r="Y23" s="195" t="s">
        <v>207</v>
      </c>
      <c r="Z23" s="195"/>
      <c r="AA23" s="195"/>
      <c r="AB23" s="195"/>
      <c r="AC23" s="470"/>
      <c r="AD23" s="195" t="s">
        <v>207</v>
      </c>
      <c r="AE23" s="195"/>
      <c r="AF23" s="195"/>
      <c r="AG23" s="195"/>
    </row>
    <row r="24" spans="1:33" ht="15" customHeight="1" thickTop="1">
      <c r="A24" s="440" t="s">
        <v>40</v>
      </c>
      <c r="B24" s="444" t="s">
        <v>40</v>
      </c>
      <c r="C24" s="445"/>
      <c r="D24" s="471">
        <f>DM!D14</f>
        <v>0</v>
      </c>
      <c r="E24" s="192" t="s">
        <v>207</v>
      </c>
      <c r="F24" s="192"/>
      <c r="G24" s="192"/>
      <c r="H24" s="192"/>
      <c r="I24" s="471">
        <f>DM!H14</f>
        <v>4</v>
      </c>
      <c r="J24" s="192" t="s">
        <v>207</v>
      </c>
      <c r="K24" s="192"/>
      <c r="L24" s="192"/>
      <c r="M24" s="192"/>
      <c r="N24" s="471">
        <f>DM!L14</f>
        <v>0</v>
      </c>
      <c r="O24" s="192" t="s">
        <v>207</v>
      </c>
      <c r="P24" s="192"/>
      <c r="Q24" s="192"/>
      <c r="R24" s="192"/>
      <c r="S24" s="471">
        <f>DM!P14</f>
        <v>4</v>
      </c>
      <c r="T24" s="192" t="s">
        <v>207</v>
      </c>
      <c r="U24" s="192"/>
      <c r="V24" s="192"/>
      <c r="W24" s="192"/>
      <c r="X24" s="471">
        <f>DM!T14</f>
        <v>0</v>
      </c>
      <c r="Y24" s="192" t="s">
        <v>207</v>
      </c>
      <c r="Z24" s="192"/>
      <c r="AA24" s="192"/>
      <c r="AB24" s="192"/>
      <c r="AC24" s="471">
        <f>DM!X14</f>
        <v>2</v>
      </c>
      <c r="AD24" s="192" t="s">
        <v>207</v>
      </c>
      <c r="AE24" s="192"/>
      <c r="AF24" s="192"/>
      <c r="AG24" s="192"/>
    </row>
    <row r="25" spans="1:33" ht="15" customHeight="1">
      <c r="A25" s="441"/>
      <c r="B25" s="446" t="s">
        <v>225</v>
      </c>
      <c r="C25" s="447"/>
      <c r="D25" s="469"/>
      <c r="E25" s="193" t="s">
        <v>207</v>
      </c>
      <c r="F25" s="193"/>
      <c r="G25" s="193"/>
      <c r="H25" s="193"/>
      <c r="I25" s="469"/>
      <c r="J25" s="193" t="s">
        <v>207</v>
      </c>
      <c r="K25" s="193"/>
      <c r="L25" s="193"/>
      <c r="M25" s="193"/>
      <c r="N25" s="469"/>
      <c r="O25" s="193" t="s">
        <v>207</v>
      </c>
      <c r="P25" s="193"/>
      <c r="Q25" s="193"/>
      <c r="R25" s="193"/>
      <c r="S25" s="469"/>
      <c r="T25" s="193" t="s">
        <v>207</v>
      </c>
      <c r="U25" s="193"/>
      <c r="V25" s="193"/>
      <c r="W25" s="193"/>
      <c r="X25" s="469"/>
      <c r="Y25" s="193" t="s">
        <v>260</v>
      </c>
      <c r="Z25" s="193">
        <v>2.5</v>
      </c>
      <c r="AA25" s="193" t="s">
        <v>261</v>
      </c>
      <c r="AB25" s="193"/>
      <c r="AC25" s="469"/>
      <c r="AD25" s="193" t="s">
        <v>207</v>
      </c>
      <c r="AE25" s="193"/>
      <c r="AF25" s="193"/>
      <c r="AG25" s="193"/>
    </row>
    <row r="26" spans="1:33" ht="15" customHeight="1" thickBot="1">
      <c r="A26" s="450"/>
      <c r="B26" s="448" t="s">
        <v>226</v>
      </c>
      <c r="C26" s="449"/>
      <c r="D26" s="470"/>
      <c r="E26" s="195" t="s">
        <v>207</v>
      </c>
      <c r="F26" s="195"/>
      <c r="G26" s="195"/>
      <c r="H26" s="195"/>
      <c r="I26" s="470"/>
      <c r="J26" s="195" t="s">
        <v>207</v>
      </c>
      <c r="K26" s="195"/>
      <c r="L26" s="195"/>
      <c r="M26" s="195"/>
      <c r="N26" s="470"/>
      <c r="O26" s="195" t="s">
        <v>207</v>
      </c>
      <c r="P26" s="195"/>
      <c r="Q26" s="195"/>
      <c r="R26" s="195"/>
      <c r="S26" s="470"/>
      <c r="T26" s="195" t="s">
        <v>207</v>
      </c>
      <c r="U26" s="195"/>
      <c r="V26" s="195"/>
      <c r="W26" s="195"/>
      <c r="X26" s="470"/>
      <c r="Y26" s="195" t="s">
        <v>207</v>
      </c>
      <c r="Z26" s="195"/>
      <c r="AA26" s="195"/>
      <c r="AB26" s="195"/>
      <c r="AC26" s="470"/>
      <c r="AD26" s="195" t="s">
        <v>207</v>
      </c>
      <c r="AE26" s="195"/>
      <c r="AF26" s="195"/>
      <c r="AG26" s="195"/>
    </row>
    <row r="27" spans="1:33" ht="15" customHeight="1" thickTop="1">
      <c r="A27" s="440" t="s">
        <v>41</v>
      </c>
      <c r="B27" s="444" t="s">
        <v>227</v>
      </c>
      <c r="C27" s="445"/>
      <c r="D27" s="471">
        <f>DM!D15</f>
        <v>2.5</v>
      </c>
      <c r="E27" s="192" t="s">
        <v>207</v>
      </c>
      <c r="F27" s="192"/>
      <c r="G27" s="192"/>
      <c r="H27" s="192"/>
      <c r="I27" s="471">
        <f>DM!H15</f>
        <v>0</v>
      </c>
      <c r="J27" s="192" t="s">
        <v>207</v>
      </c>
      <c r="K27" s="192"/>
      <c r="L27" s="192"/>
      <c r="M27" s="192"/>
      <c r="N27" s="471">
        <f>DM!L15</f>
        <v>3</v>
      </c>
      <c r="O27" s="192" t="s">
        <v>207</v>
      </c>
      <c r="P27" s="192"/>
      <c r="Q27" s="192"/>
      <c r="R27" s="192"/>
      <c r="S27" s="471">
        <f>DM!P15</f>
        <v>0</v>
      </c>
      <c r="T27" s="192" t="s">
        <v>207</v>
      </c>
      <c r="U27" s="192"/>
      <c r="V27" s="192"/>
      <c r="W27" s="192"/>
      <c r="X27" s="471">
        <f>DM!T15</f>
        <v>2</v>
      </c>
      <c r="Y27" s="192" t="s">
        <v>207</v>
      </c>
      <c r="Z27" s="192"/>
      <c r="AA27" s="192"/>
      <c r="AB27" s="192"/>
      <c r="AC27" s="471">
        <f>DM!X15</f>
        <v>0</v>
      </c>
      <c r="AD27" s="192" t="s">
        <v>207</v>
      </c>
      <c r="AE27" s="192"/>
      <c r="AF27" s="192"/>
      <c r="AG27" s="192"/>
    </row>
    <row r="28" spans="1:33" ht="15" customHeight="1">
      <c r="A28" s="441"/>
      <c r="B28" s="446" t="s">
        <v>228</v>
      </c>
      <c r="C28" s="447"/>
      <c r="D28" s="469"/>
      <c r="E28" s="193" t="s">
        <v>207</v>
      </c>
      <c r="F28" s="193"/>
      <c r="G28" s="193"/>
      <c r="H28" s="193"/>
      <c r="I28" s="469"/>
      <c r="J28" s="193" t="s">
        <v>207</v>
      </c>
      <c r="K28" s="193"/>
      <c r="L28" s="193"/>
      <c r="M28" s="193"/>
      <c r="N28" s="469"/>
      <c r="O28" s="193" t="s">
        <v>207</v>
      </c>
      <c r="P28" s="193"/>
      <c r="Q28" s="193"/>
      <c r="R28" s="193"/>
      <c r="S28" s="469"/>
      <c r="T28" s="193" t="s">
        <v>207</v>
      </c>
      <c r="U28" s="193"/>
      <c r="V28" s="193"/>
      <c r="W28" s="193"/>
      <c r="X28" s="469"/>
      <c r="Y28" s="193" t="s">
        <v>207</v>
      </c>
      <c r="Z28" s="193"/>
      <c r="AA28" s="193"/>
      <c r="AB28" s="193"/>
      <c r="AC28" s="469"/>
      <c r="AD28" s="193" t="s">
        <v>207</v>
      </c>
      <c r="AE28" s="193"/>
      <c r="AF28" s="193"/>
      <c r="AG28" s="193"/>
    </row>
    <row r="29" spans="1:33" ht="15" customHeight="1" thickBot="1">
      <c r="A29" s="450"/>
      <c r="B29" s="448" t="s">
        <v>229</v>
      </c>
      <c r="C29" s="449"/>
      <c r="D29" s="470"/>
      <c r="E29" s="195" t="s">
        <v>207</v>
      </c>
      <c r="F29" s="195"/>
      <c r="G29" s="195"/>
      <c r="H29" s="195"/>
      <c r="I29" s="470"/>
      <c r="J29" s="195" t="s">
        <v>207</v>
      </c>
      <c r="K29" s="195"/>
      <c r="L29" s="195"/>
      <c r="M29" s="195"/>
      <c r="N29" s="470"/>
      <c r="O29" s="195" t="s">
        <v>207</v>
      </c>
      <c r="P29" s="195"/>
      <c r="Q29" s="195"/>
      <c r="R29" s="195"/>
      <c r="S29" s="470"/>
      <c r="T29" s="195" t="s">
        <v>207</v>
      </c>
      <c r="U29" s="195"/>
      <c r="V29" s="195"/>
      <c r="W29" s="195"/>
      <c r="X29" s="470"/>
      <c r="Y29" s="195" t="s">
        <v>207</v>
      </c>
      <c r="Z29" s="195"/>
      <c r="AA29" s="195"/>
      <c r="AB29" s="195"/>
      <c r="AC29" s="470"/>
      <c r="AD29" s="195" t="s">
        <v>207</v>
      </c>
      <c r="AE29" s="195"/>
      <c r="AF29" s="195"/>
      <c r="AG29" s="195"/>
    </row>
    <row r="30" spans="1:33" ht="15" customHeight="1" thickTop="1">
      <c r="A30" s="440" t="s">
        <v>42</v>
      </c>
      <c r="B30" s="444" t="s">
        <v>230</v>
      </c>
      <c r="C30" s="445"/>
      <c r="D30" s="471">
        <f>DM!D16</f>
        <v>0</v>
      </c>
      <c r="E30" s="192" t="s">
        <v>207</v>
      </c>
      <c r="F30" s="192"/>
      <c r="G30" s="192"/>
      <c r="H30" s="192"/>
      <c r="I30" s="471">
        <f>DM!H16</f>
        <v>0</v>
      </c>
      <c r="J30" s="192" t="s">
        <v>207</v>
      </c>
      <c r="K30" s="192"/>
      <c r="L30" s="192"/>
      <c r="M30" s="192"/>
      <c r="N30" s="471">
        <f>DM!L16</f>
        <v>0</v>
      </c>
      <c r="O30" s="192" t="s">
        <v>207</v>
      </c>
      <c r="P30" s="192"/>
      <c r="Q30" s="192"/>
      <c r="R30" s="192"/>
      <c r="S30" s="471">
        <f>DM!P16</f>
        <v>0</v>
      </c>
      <c r="T30" s="192" t="s">
        <v>207</v>
      </c>
      <c r="U30" s="192"/>
      <c r="V30" s="192"/>
      <c r="W30" s="192"/>
      <c r="X30" s="471">
        <f>DM!T16</f>
        <v>0</v>
      </c>
      <c r="Y30" s="192" t="s">
        <v>207</v>
      </c>
      <c r="Z30" s="192"/>
      <c r="AA30" s="192"/>
      <c r="AB30" s="192"/>
      <c r="AC30" s="471">
        <f>DM!X16</f>
        <v>0</v>
      </c>
      <c r="AD30" s="192" t="s">
        <v>207</v>
      </c>
      <c r="AE30" s="192"/>
      <c r="AF30" s="192"/>
      <c r="AG30" s="192"/>
    </row>
    <row r="31" spans="1:33" ht="15" customHeight="1">
      <c r="A31" s="441"/>
      <c r="B31" s="446" t="s">
        <v>231</v>
      </c>
      <c r="C31" s="447"/>
      <c r="D31" s="469"/>
      <c r="E31" s="193" t="s">
        <v>207</v>
      </c>
      <c r="F31" s="193"/>
      <c r="G31" s="193"/>
      <c r="H31" s="193"/>
      <c r="I31" s="469"/>
      <c r="J31" s="193" t="s">
        <v>207</v>
      </c>
      <c r="K31" s="193"/>
      <c r="L31" s="193"/>
      <c r="M31" s="193"/>
      <c r="N31" s="469"/>
      <c r="O31" s="193" t="s">
        <v>207</v>
      </c>
      <c r="P31" s="193"/>
      <c r="Q31" s="193"/>
      <c r="R31" s="193"/>
      <c r="S31" s="469"/>
      <c r="T31" s="193" t="s">
        <v>207</v>
      </c>
      <c r="U31" s="193"/>
      <c r="V31" s="193"/>
      <c r="W31" s="193"/>
      <c r="X31" s="469"/>
      <c r="Y31" s="193" t="s">
        <v>207</v>
      </c>
      <c r="Z31" s="193"/>
      <c r="AA31" s="193"/>
      <c r="AB31" s="193"/>
      <c r="AC31" s="469"/>
      <c r="AD31" s="193" t="s">
        <v>207</v>
      </c>
      <c r="AE31" s="193"/>
      <c r="AF31" s="193"/>
      <c r="AG31" s="193"/>
    </row>
    <row r="32" spans="1:33" ht="15" customHeight="1">
      <c r="A32" s="442"/>
      <c r="B32" s="446" t="s">
        <v>232</v>
      </c>
      <c r="C32" s="447"/>
      <c r="D32" s="469"/>
      <c r="E32" s="193" t="s">
        <v>207</v>
      </c>
      <c r="F32" s="193"/>
      <c r="G32" s="193"/>
      <c r="H32" s="193"/>
      <c r="I32" s="469"/>
      <c r="J32" s="193" t="s">
        <v>207</v>
      </c>
      <c r="K32" s="193"/>
      <c r="L32" s="193"/>
      <c r="M32" s="193"/>
      <c r="N32" s="469"/>
      <c r="O32" s="193" t="s">
        <v>207</v>
      </c>
      <c r="P32" s="193"/>
      <c r="Q32" s="193"/>
      <c r="R32" s="193"/>
      <c r="S32" s="469"/>
      <c r="T32" s="193" t="s">
        <v>207</v>
      </c>
      <c r="U32" s="193"/>
      <c r="V32" s="193"/>
      <c r="W32" s="193"/>
      <c r="X32" s="469"/>
      <c r="Y32" s="193" t="s">
        <v>207</v>
      </c>
      <c r="Z32" s="193"/>
      <c r="AA32" s="193"/>
      <c r="AB32" s="193"/>
      <c r="AC32" s="469"/>
      <c r="AD32" s="193" t="s">
        <v>207</v>
      </c>
      <c r="AE32" s="193"/>
      <c r="AF32" s="193"/>
      <c r="AG32" s="193"/>
    </row>
    <row r="33" spans="1:33" ht="15" customHeight="1">
      <c r="A33" s="442"/>
      <c r="B33" s="446" t="s">
        <v>233</v>
      </c>
      <c r="C33" s="447"/>
      <c r="D33" s="469"/>
      <c r="E33" s="193" t="s">
        <v>207</v>
      </c>
      <c r="F33" s="193"/>
      <c r="G33" s="193"/>
      <c r="H33" s="193"/>
      <c r="I33" s="469"/>
      <c r="J33" s="193" t="s">
        <v>207</v>
      </c>
      <c r="K33" s="193"/>
      <c r="L33" s="193"/>
      <c r="M33" s="193"/>
      <c r="N33" s="469"/>
      <c r="O33" s="193" t="s">
        <v>207</v>
      </c>
      <c r="P33" s="193"/>
      <c r="Q33" s="193"/>
      <c r="R33" s="193"/>
      <c r="S33" s="469"/>
      <c r="T33" s="193" t="s">
        <v>207</v>
      </c>
      <c r="U33" s="193"/>
      <c r="V33" s="193"/>
      <c r="W33" s="193"/>
      <c r="X33" s="469"/>
      <c r="Y33" s="193" t="s">
        <v>207</v>
      </c>
      <c r="Z33" s="193"/>
      <c r="AA33" s="193"/>
      <c r="AB33" s="193"/>
      <c r="AC33" s="469"/>
      <c r="AD33" s="193" t="s">
        <v>207</v>
      </c>
      <c r="AE33" s="193"/>
      <c r="AF33" s="193"/>
      <c r="AG33" s="193"/>
    </row>
    <row r="34" spans="1:33" ht="15" customHeight="1">
      <c r="A34" s="442"/>
      <c r="B34" s="446" t="s">
        <v>234</v>
      </c>
      <c r="C34" s="447"/>
      <c r="D34" s="469"/>
      <c r="E34" s="193" t="s">
        <v>207</v>
      </c>
      <c r="F34" s="193"/>
      <c r="G34" s="193"/>
      <c r="H34" s="193"/>
      <c r="I34" s="469"/>
      <c r="J34" s="193" t="s">
        <v>207</v>
      </c>
      <c r="K34" s="193"/>
      <c r="L34" s="193"/>
      <c r="M34" s="193"/>
      <c r="N34" s="469"/>
      <c r="O34" s="193" t="s">
        <v>207</v>
      </c>
      <c r="P34" s="193"/>
      <c r="Q34" s="193"/>
      <c r="R34" s="193"/>
      <c r="S34" s="469"/>
      <c r="T34" s="193" t="s">
        <v>207</v>
      </c>
      <c r="U34" s="193"/>
      <c r="V34" s="193"/>
      <c r="W34" s="193"/>
      <c r="X34" s="469"/>
      <c r="Y34" s="193" t="s">
        <v>207</v>
      </c>
      <c r="Z34" s="193"/>
      <c r="AA34" s="193"/>
      <c r="AB34" s="193"/>
      <c r="AC34" s="469"/>
      <c r="AD34" s="193" t="s">
        <v>207</v>
      </c>
      <c r="AE34" s="193"/>
      <c r="AF34" s="193"/>
      <c r="AG34" s="193"/>
    </row>
    <row r="35" spans="1:33" ht="15" customHeight="1" thickBot="1">
      <c r="A35" s="443"/>
      <c r="B35" s="448" t="s">
        <v>235</v>
      </c>
      <c r="C35" s="449"/>
      <c r="D35" s="470"/>
      <c r="E35" s="195" t="s">
        <v>207</v>
      </c>
      <c r="F35" s="195"/>
      <c r="G35" s="195"/>
      <c r="H35" s="195"/>
      <c r="I35" s="470"/>
      <c r="J35" s="195" t="s">
        <v>207</v>
      </c>
      <c r="K35" s="195"/>
      <c r="L35" s="195"/>
      <c r="M35" s="195"/>
      <c r="N35" s="470"/>
      <c r="O35" s="195" t="s">
        <v>207</v>
      </c>
      <c r="P35" s="195"/>
      <c r="Q35" s="195"/>
      <c r="R35" s="195"/>
      <c r="S35" s="470"/>
      <c r="T35" s="195" t="s">
        <v>207</v>
      </c>
      <c r="U35" s="195"/>
      <c r="V35" s="195"/>
      <c r="W35" s="195"/>
      <c r="X35" s="470"/>
      <c r="Y35" s="195" t="s">
        <v>207</v>
      </c>
      <c r="Z35" s="195"/>
      <c r="AA35" s="195"/>
      <c r="AB35" s="195"/>
      <c r="AC35" s="470"/>
      <c r="AD35" s="195" t="s">
        <v>207</v>
      </c>
      <c r="AE35" s="195"/>
      <c r="AF35" s="195"/>
      <c r="AG35" s="195"/>
    </row>
    <row r="36" spans="1:33" ht="15" thickTop="1"/>
  </sheetData>
  <sheetProtection algorithmName="SHA-512" hashValue="bWylJh1IIj0qTPwTbqGolle/OBVubVa3I7I3H6m3Rxf1HSdVIYfLDkgrbAtTbPvZAxKpxj83J55Vthgbxzf8cg==" saltValue="HKTm9Q2+CJAOgN1pxz7JxQ==" spinCount="100000" sheet="1" objects="1" scenarios="1" formatColumns="0" formatRows="0"/>
  <mergeCells count="86">
    <mergeCell ref="AC15:AC21"/>
    <mergeCell ref="AC22:AC23"/>
    <mergeCell ref="AC24:AC26"/>
    <mergeCell ref="AC27:AC29"/>
    <mergeCell ref="AC30:AC35"/>
    <mergeCell ref="X15:X21"/>
    <mergeCell ref="X22:X23"/>
    <mergeCell ref="X24:X26"/>
    <mergeCell ref="X27:X29"/>
    <mergeCell ref="X30:X35"/>
    <mergeCell ref="S15:S21"/>
    <mergeCell ref="S22:S23"/>
    <mergeCell ref="S24:S26"/>
    <mergeCell ref="S27:S29"/>
    <mergeCell ref="S30:S35"/>
    <mergeCell ref="N15:N21"/>
    <mergeCell ref="N22:N23"/>
    <mergeCell ref="N24:N26"/>
    <mergeCell ref="N27:N29"/>
    <mergeCell ref="N30:N35"/>
    <mergeCell ref="I15:I21"/>
    <mergeCell ref="I22:I23"/>
    <mergeCell ref="I24:I26"/>
    <mergeCell ref="I27:I29"/>
    <mergeCell ref="I30:I35"/>
    <mergeCell ref="D15:D21"/>
    <mergeCell ref="D22:D23"/>
    <mergeCell ref="D24:D26"/>
    <mergeCell ref="D27:D29"/>
    <mergeCell ref="D30:D35"/>
    <mergeCell ref="S2:S3"/>
    <mergeCell ref="T2:W2"/>
    <mergeCell ref="X2:X3"/>
    <mergeCell ref="D1:H1"/>
    <mergeCell ref="I1:M1"/>
    <mergeCell ref="N1:R1"/>
    <mergeCell ref="S1:W1"/>
    <mergeCell ref="X1:AB1"/>
    <mergeCell ref="Y2:AB2"/>
    <mergeCell ref="E2:H2"/>
    <mergeCell ref="I2:I3"/>
    <mergeCell ref="J2:M2"/>
    <mergeCell ref="N2:N3"/>
    <mergeCell ref="O2:R2"/>
    <mergeCell ref="AC2:AC3"/>
    <mergeCell ref="AD2:AG2"/>
    <mergeCell ref="A4:A8"/>
    <mergeCell ref="A9:A11"/>
    <mergeCell ref="A12:A14"/>
    <mergeCell ref="A1:A3"/>
    <mergeCell ref="D4:D7"/>
    <mergeCell ref="I4:I7"/>
    <mergeCell ref="N4:N7"/>
    <mergeCell ref="S4:S7"/>
    <mergeCell ref="X4:X7"/>
    <mergeCell ref="AC4:AC7"/>
    <mergeCell ref="B1:B3"/>
    <mergeCell ref="C1:C3"/>
    <mergeCell ref="AC1:AG1"/>
    <mergeCell ref="D2:D3"/>
    <mergeCell ref="B19:C19"/>
    <mergeCell ref="B20:C20"/>
    <mergeCell ref="B21:C21"/>
    <mergeCell ref="A22:A23"/>
    <mergeCell ref="B22:C22"/>
    <mergeCell ref="B23:C23"/>
    <mergeCell ref="A15:A21"/>
    <mergeCell ref="B15:C15"/>
    <mergeCell ref="B16:C16"/>
    <mergeCell ref="B17:C17"/>
    <mergeCell ref="B18:C18"/>
    <mergeCell ref="A24:A26"/>
    <mergeCell ref="B24:C24"/>
    <mergeCell ref="B25:C25"/>
    <mergeCell ref="B26:C26"/>
    <mergeCell ref="A27:A29"/>
    <mergeCell ref="B27:C27"/>
    <mergeCell ref="B28:C28"/>
    <mergeCell ref="B29:C29"/>
    <mergeCell ref="A30:A35"/>
    <mergeCell ref="B30:C30"/>
    <mergeCell ref="B31:C31"/>
    <mergeCell ref="B32:C32"/>
    <mergeCell ref="B33:C33"/>
    <mergeCell ref="B34:C34"/>
    <mergeCell ref="B35:C35"/>
  </mergeCells>
  <conditionalFormatting sqref="C4:C7">
    <cfRule type="colorScale" priority="5">
      <colorScale>
        <cfvo type="min"/>
        <cfvo type="percentile" val="50"/>
        <cfvo type="max"/>
        <color rgb="FF63BE7B"/>
        <color rgb="FFFFEB84"/>
        <color rgb="FFF8696B"/>
      </colorScale>
    </cfRule>
  </conditionalFormatting>
  <conditionalFormatting sqref="A15">
    <cfRule type="colorScale" priority="2">
      <colorScale>
        <cfvo type="min"/>
        <cfvo type="percentile" val="50"/>
        <cfvo type="max"/>
        <color rgb="FF63BE7B"/>
        <color rgb="FFFFEB84"/>
        <color rgb="FFF8696B"/>
      </colorScale>
    </cfRule>
  </conditionalFormatting>
  <conditionalFormatting sqref="A24:B24 B28:B29 B25:B26 B23 B8:C8 A22:B22 A9:C9 A12 A4:B4 B5:B7 A27:B27 A30:B31 B15:B20 B10:C14">
    <cfRule type="colorScale" priority="6">
      <colorScale>
        <cfvo type="min"/>
        <cfvo type="percentile" val="50"/>
        <cfvo type="max"/>
        <color rgb="FF63BE7B"/>
        <color rgb="FFFFEB84"/>
        <color rgb="FFF8696B"/>
      </colorScale>
    </cfRule>
  </conditionalFormatting>
  <conditionalFormatting sqref="B33:B34">
    <cfRule type="colorScale" priority="4">
      <colorScale>
        <cfvo type="min"/>
        <cfvo type="percentile" val="50"/>
        <cfvo type="max"/>
        <color rgb="FF63BE7B"/>
        <color rgb="FFFFEB84"/>
        <color rgb="FFF8696B"/>
      </colorScale>
    </cfRule>
  </conditionalFormatting>
  <conditionalFormatting sqref="B21">
    <cfRule type="colorScale" priority="3">
      <colorScale>
        <cfvo type="min"/>
        <cfvo type="percentile" val="50"/>
        <cfvo type="max"/>
        <color rgb="FF63BE7B"/>
        <color rgb="FFFFEB84"/>
        <color rgb="FFF8696B"/>
      </colorScale>
    </cfRule>
  </conditionalFormatting>
  <conditionalFormatting sqref="A1:C1">
    <cfRule type="colorScale" priority="1">
      <colorScale>
        <cfvo type="min"/>
        <cfvo type="percentile" val="50"/>
        <cfvo type="max"/>
        <color rgb="FF63BE7B"/>
        <color rgb="FFFFEB84"/>
        <color rgb="FFF8696B"/>
      </colorScale>
    </cfRule>
  </conditionalFormatting>
  <dataValidations count="32">
    <dataValidation type="list" allowBlank="1" showInputMessage="1" showErrorMessage="1" sqref="E4 Y4 O4 AD4 J4 T4" xr:uid="{00000000-0002-0000-0600-000000000000}">
      <formula1>"-,Rduced-calorie 2 slices 45 g, Bread White 1 slice, Bread whole 1 slice, Chapatti small 15cm across,Cornbread 1 slice, English muffin 1/2,hamburger bun 1/2, Tortill 15 cm 1,Waffle 10 cm 1,Pancake 10cm 1"</formula1>
    </dataValidation>
    <dataValidation type="list" allowBlank="1" showInputMessage="1" showErrorMessage="1" sqref="E5 Y5 O5 AD5 J5 T5" xr:uid="{00000000-0002-0000-0600-000001000000}">
      <formula1>"-,Barley cooked 1/3 c,Bran dry 1/4c,Bran wheat 1/2c,Bulgur cooked 1/2c,Cereals cooked 1/2 c, Cereals ready to eat 3/4c,Couscous 1/3c,Granola 1/4c,Grits cooked 1/2c,Muesli 1/4c,Pasta cooked 1/3c,Rice cooked 1/3c,Rice wild cooked 1/2,Tabbouleh 1/2c,No"</formula1>
    </dataValidation>
    <dataValidation type="list" allowBlank="1" showInputMessage="1" showErrorMessage="1" sqref="E6 Y6 O6 AD6 J6 T6" xr:uid="{00000000-0002-0000-0600-000002000000}">
      <formula1>"-,Cassava 1/3c,Corn 1/2c or 1/2 cob,Hominy 3/4c,Mixed vegetables with corn or peas or pasta 1c,Peas green 1/2c,Potato boiled 1/2c,Potato mashed with milk and fat 1/2c,Potato French fried 1c,Spaghetti/pasta sauce 1/2c,Squash winter 1c,Yam s. potato 1/2c"</formula1>
    </dataValidation>
    <dataValidation type="list" allowBlank="1" showInputMessage="1" showErrorMessage="1" sqref="E7 Y7 O7 AD7 J7 T7" xr:uid="{00000000-0002-0000-0600-000003000000}">
      <formula1>"-,Animal crackers 8,Crackers round or saltine 6, Crackers whole wheat 2-5 (21g),Crackers sandwish-style 3,Graham cracker 3,Popcorn any 3c,Pretzels 21g,Rice cakes 2,Snack chips fat free 15-20,Snack chips regular 9-13 (21g)"</formula1>
    </dataValidation>
    <dataValidation type="list" allowBlank="1" showInputMessage="1" showErrorMessage="1" sqref="E8 Y8 O8 AD8 J8 T8" xr:uid="{00000000-0002-0000-0600-000004000000}">
      <formula1>"-,Baked beans 1/3c,Beans cooked 1/2c,Lentils cooked 1/2c,Peas cooked 1/2c,Beans canned 1/2c,Falafel 3 patties (about 4cm across),Hummus 1/3c,Soy nuts unsalted 21g,Tempeh 1/4c,Tofu 1/2c"</formula1>
    </dataValidation>
    <dataValidation type="list" allowBlank="1" showInputMessage="1" showErrorMessage="1" sqref="E9 Y9 O9 AD9 J9 T9" xr:uid="{00000000-0002-0000-0600-000005000000}">
      <formula1>"-,Milk 1c,buttermilk 1c,acidophilus milk 1c,Lactaid 1c,Evaporated milk 1/2c,Yogurt plain 2/3c (150g),Yogurt flavored 2/3c (150g)"</formula1>
    </dataValidation>
    <dataValidation type="list" allowBlank="1" showInputMessage="1" showErrorMessage="1" sqref="E10 Y10 O10 AD10 J10 T10" xr:uid="{00000000-0002-0000-0600-000006000000}">
      <formula1>"-,Milk 1c,acidophilus milk 1c,Kefir 1c,Lactaid 1c,Yogurt plain 2/3c (150g)"</formula1>
    </dataValidation>
    <dataValidation type="list" allowBlank="1" showInputMessage="1" showErrorMessage="1" sqref="E11 Y11 O11 AD11 J11 T11" xr:uid="{00000000-0002-0000-0600-000007000000}">
      <formula1>"-,Milk 1c,buttermilk 1c,Goat's milk 1c,Evaporated milk 1/2c,Yogurt plain 2/3c (150g)"</formula1>
    </dataValidation>
    <dataValidation type="list" allowBlank="1" showInputMessage="1" showErrorMessage="1" sqref="E12 Y12 O12 AD12 J12 T12" xr:uid="{00000000-0002-0000-0600-000008000000}">
      <formula1>"-,Meat cooked any 28g,Fish cooked 28g,Poultry Without Skin 28g,Meat organ 28g,Cheese 28g,Cottage cheese 1/4c,Egg white 2,Hot dog 1,Oysters 6,Sardines canned 2med,Sausage 28g"</formula1>
    </dataValidation>
    <dataValidation type="list" allowBlank="1" showInputMessage="1" showErrorMessage="1" sqref="E13 Y13 O13 AD13 J13 T13" xr:uid="{00000000-0002-0000-0600-000009000000}">
      <formula1>"-,Meat cooked any 28g,Fish fried 28g,Poultry With Skin 28g,Cheese with 4-7 g fat 28g,Processed cheese 1/4c,Egg 1,Ricotta cheeses 56g or 1/4c,Susage 28g,Oysters 6,Sardines canned 2med,Sausage 28g"</formula1>
    </dataValidation>
    <dataValidation type="list" allowBlank="1" showInputMessage="1" showErrorMessage="1" sqref="E14 Y14 O14 AD14 J14 T14" xr:uid="{00000000-0002-0000-0600-00000A000000}">
      <formula1>"-,Processed sandwich meat cooked with 8g fat 28g,Turkey 3slice,Susage with 8g fat 28g,Cheese reuglar 28g,Cheddar Cheese 28g,Blue cheese 1/4c,Hot dog 1,Pastrami 28g,Salami 28g"</formula1>
    </dataValidation>
    <dataValidation type="list" allowBlank="1" showInputMessage="1" showErrorMessage="1" sqref="E22 Y22 O22 AD22 J22 T22" xr:uid="{00000000-0002-0000-0600-00000B000000}">
      <formula1>"-,Cooked 1/2c"</formula1>
    </dataValidation>
    <dataValidation type="list" allowBlank="1" showInputMessage="1" showErrorMessage="1" sqref="E23 Y23 O23 AD23 J23 T23" xr:uid="{00000000-0002-0000-0600-00000C000000}">
      <formula1>"-,Fresh vege 1c"</formula1>
    </dataValidation>
    <dataValidation type="list" allowBlank="1" showInputMessage="1" showErrorMessage="1" sqref="E24 Y24 O24 AD24 J24 T24" xr:uid="{00000000-0002-0000-0600-00000D000000}">
      <formula1>"-,Apple unpeeled 1,Apricotes 4,Banana 1s,Berries 3/4c,Cantaloupe 1/3s,Cherry can 1/2c,Date 3,Fig 2m,Cocktail 1/2c,Grapefruit 1/2L,Grapes 17,Melon 1 Slice,Kiwi 1,Mango 1/2s,Orange 1s,Peaches 1,Pear 1/2,Pineapple 3/4c,Plum 2s,Strawbery 1.25c,Waterm. 1sli"</formula1>
    </dataValidation>
    <dataValidation type="list" allowBlank="1" showInputMessage="1" showErrorMessage="1" sqref="E25 Y25 O25 AD25 J25 T25" xr:uid="{00000000-0002-0000-0600-00000E000000}">
      <formula1>"-,Apple 4ring,Apricotes 8Halfs,Dried fruits mixed 2Tbsp,Fig 1.5c,Plum 3"</formula1>
    </dataValidation>
    <dataValidation type="list" allowBlank="1" showInputMessage="1" showErrorMessage="1" sqref="E26 Y26 O26 AD26 J26 T26" xr:uid="{00000000-0002-0000-0600-00000F000000}">
      <formula1>"-,Apple juice/cider 1/2c,Fruit juice blend 100%juice 1/3c,Grape juice 1/3c,Grapefruit juice 1/2c,Orange juice 1/2c,Pineapple juice 1/2c,Prune juice 1/3c"</formula1>
    </dataValidation>
    <dataValidation type="list" allowBlank="1" showInputMessage="1" showErrorMessage="1" sqref="E27 Y27 O27 AD27 J27 T27" xr:uid="{00000000-0002-0000-0600-000010000000}">
      <formula1>"-,Almonds 6,Brazilnut 2,Cashews 6,Hazelnuts 5,Macadamia 3,Mixed (50% peanuts) 6,Peanuts 10,Pecans 4Halves,Pistachios 16,Oil olive-canola-peanut 1 tsp, olives black 8L,Olives green 10L"</formula1>
    </dataValidation>
    <dataValidation type="list" allowBlank="1" showInputMessage="1" showErrorMessage="1" sqref="E28 Y28 O28 AD28 J28 T28" xr:uid="{00000000-0002-0000-0600-000011000000}">
      <formula1>"-,Margarine 1Tbsp,Mayonnaise reuced fat 1Tbsp,Mayonnaise regular 1tsp,Pine nut 1Tbsp,Walnuts 4Halves,Oil 1tsp,Salad dressing reduced fat 2Tbsp,Salad dressing reg 1Tbsp,Seeds 1Tbsp,Tahini 2tsp"</formula1>
    </dataValidation>
    <dataValidation type="list" allowBlank="1" showInputMessage="1" showErrorMessage="1" sqref="E29 Y29 O29 AD29 J29 T29" xr:uid="{00000000-0002-0000-0600-000012000000}">
      <formula1>"-,Butter stick 1tsp,Butter whipped 2tsp,Butter blend with oil 1.5tsp,Coconut 2Tbsp,Cream heavy 1Tbsp,Cream whipped 2Tbsp,Cream cheese 1Tbsp,Lard 1tsp,Oil (coconut-palm) 1tsp,Shortening solid 1tsp,Sour cream reduced fat 3Tbsp,Sour cream reg 2Tbsp"</formula1>
    </dataValidation>
    <dataValidation type="list" allowBlank="1" showInputMessage="1" showErrorMessage="1" sqref="E30 O30 Y30 AD30 J30 T30" xr:uid="{00000000-0002-0000-0600-000013000000}">
      <formula1>"-,Cabbage raw 1/2c,Candy sugar free 1p,Carot 1/4c,Cauliflower 1/4c,Green bean cooked 1/4c,Cucumber 1/4c,Cranberries sugar free 1/2c,Gelatin sugar free,Gum,Jam Sugar Free 2tsp,Jelly Sugar free 2tsp,Salad greens"</formula1>
    </dataValidation>
    <dataValidation type="list" allowBlank="1" showInputMessage="1" showErrorMessage="1" sqref="E31 O31 Y31 AD31 J31 T31" xr:uid="{00000000-0002-0000-0600-000014000000}">
      <formula1>"-,Cream cheese fat F 1Tbsp,Creamer Fat F Liquid 1Tbsp,Creamer Fat F Powder 1tsp,Margrine Fat F 1Tbsp,Margrine Reduced F 1tsp,Mayonnaise Fat F 1Tbsp,Mayonnaise Reduced F 1tsp,Salad Dressing Fat F 1Tbsp,Sour Cream Fat F 1Tbsp,Whipped Topping Fat F 2Tbsp"</formula1>
    </dataValidation>
    <dataValidation type="list" allowBlank="1" showInputMessage="1" showErrorMessage="1" sqref="E32 O32 Y32 AD32 J32 T32" xr:uid="{00000000-0002-0000-0600-000015000000}">
      <formula1>"-,Barbeque sauce 2tsp,Ketchup 1Tbsp,Mustard 1Tbsp,Lemon Juice, Horseradish,Miso 1.5tsp,Parmesan Cheese 1Tbsp,Pickles 1Tbsp,Salsa 1/4c,Soy Sauce 1Tbsp,Sauce 2tsp,Vinegar"</formula1>
    </dataValidation>
    <dataValidation type="list" allowBlank="1" showInputMessage="1" showErrorMessage="1" sqref="E33 O33 Y33 AD33 J33 T33" xr:uid="{00000000-0002-0000-0600-000016000000}">
      <formula1>"-,Blueberries 1/4c,Cheese Fat F 15g,Light Popcorn 1c,Vanilla wafer 1"</formula1>
    </dataValidation>
    <dataValidation type="list" allowBlank="1" showInputMessage="1" showErrorMessage="1" sqref="E34 O34 Y34 AD34 J34 T34" xr:uid="{00000000-0002-0000-0600-000017000000}">
      <formula1>"-,Bouillon broth, consomme,Bouillon broth low sodium,Mineral Water,Club Soda,Cocoa Powder unsweetened 1Tbsp,Coffee without sugar,Soft drinks sugar free,Tea unsweetened,Herbs drinks without sugar"</formula1>
    </dataValidation>
    <dataValidation type="list" allowBlank="1" showInputMessage="1" showErrorMessage="1" sqref="E35 O35 Y35 AD35 J35 T35" xr:uid="{00000000-0002-0000-0600-000018000000}">
      <formula1>"-,Flavoring extracts,Garlic,Herbs fresh or dried,Pimento,Spices,Hot Pepper sauce"</formula1>
    </dataValidation>
    <dataValidation type="list" allowBlank="1" showInputMessage="1" showErrorMessage="1" sqref="E17 Y17 O17 AD17 J17 T17" xr:uid="{00000000-0002-0000-0600-000019000000}">
      <formula1>"-,Candy hard 3,Candy choc pea (0.5 fat) 20g,Chocolate kiss (1fat) 5p,Coffee creamer (1fat) 8tsp,Coffee cream liq 2Tbsp,Fruit snack 1roll,Fruit Chewy 20g,Honey 1Tbsp (30g),Jam  1Tbsp (30g),Sugar 1Tbsp (30g),Syrup Choc  1Tbsp,Syrup reg 1Tbsp"</formula1>
    </dataValidation>
    <dataValidation type="list" allowBlank="1" showInputMessage="1" showErrorMessage="1" sqref="E16 Y16 O16 AD16 J16 T16" xr:uid="{00000000-0002-0000-0600-00001A000000}">
      <formula1>"-,Brownie (1fat) unfr 5cm sq,Cake angel 1/24 (30g),Cake fros (0.5fat) 1/24 (30g),Cookie choc (2fat) 2(8cm),Cookie reg 3,Cookie fil (1fat) 2s,Cupcake (0.5fat) 0.5s (25g),Gelatin 0.5c,Pie com. (0.5fat) 1/18L,Pie custard (0.5fat)1/12L,Pudding reg 0.25c,"</formula1>
    </dataValidation>
    <dataValidation type="list" allowBlank="1" showInputMessage="1" showErrorMessage="1" sqref="E15 Y15 O15 AD15 J15 T15" xr:uid="{00000000-0002-0000-0600-00001B000000}">
      <formula1>"-,Cranberry juice cocktaill 0.5c,Fruit drink 0.5c,Lemonada 0.5 c,Hot Chocolate (1fat) 1envlop,Hot choco sugar free 1envlope,Soft drink 0.4 can,Sport drink 1c"</formula1>
    </dataValidation>
    <dataValidation type="list" allowBlank="1" showInputMessage="1" showErrorMessage="1" sqref="E21 Y21 O21 AD21 J21 T21" xr:uid="{00000000-0002-0000-0600-00001C000000}">
      <formula1>"-,Granola or snack bar 20g,Meal replacement bar (1fat) 3g,Trail mix (1fat) 30g"</formula1>
    </dataValidation>
    <dataValidation type="list" allowBlank="1" showInputMessage="1" showErrorMessage="1" sqref="E20 Y20 O20 AD20 J20 T20" xr:uid="{00000000-0002-0000-0600-00001D000000}">
      <formula1>"-,Frozen pops 2,Fruit juice bar 1 (90g)Ice cream fat free 1/3c,Ice cream reg (2fat) 0.5c,Ice cream light (1fat) 0.5c,Sherbet sorbet 0.25c,Yogurt fat free 1/3c,Yogurt regular (0.5fat) 0.5c"</formula1>
    </dataValidation>
    <dataValidation type="list" allowBlank="1" showInputMessage="1" showErrorMessage="1" sqref="E19 Y19 O19 AD19 J19 T19" xr:uid="{00000000-0002-0000-0600-00001E000000}">
      <formula1>"-,Banana nut bread (0.5fat) 15g,Doughnut plain (1fat) 1s,Doughnut yeast type (1fat) 30g, Muffin (0.5fat) 0.25 muffin (30g), Sweet roll or danish (1fat) 30 g"</formula1>
    </dataValidation>
    <dataValidation type="list" allowBlank="1" showInputMessage="1" showErrorMessage="1" sqref="E18 Y18 O18 AD18 J18 T18" xr:uid="{00000000-0002-0000-0600-00001F000000}">
      <formula1>"-,Barbeque sauce 3Tbsp,Cranberry sauce  jellied 0.25 c,Gravy canned or bottled (1fat) 1c,Salad dressing fat free 3Tbsp,Sweet and sour sauce 3 Tbsp"</formula1>
    </dataValidation>
  </dataValidations>
  <pageMargins left="0.25" right="0.25" top="0.75" bottom="0.75" header="0.3" footer="0.3"/>
  <pageSetup paperSize="9" scale="65" orientation="landscape" cellComments="atEnd"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ورقة8">
    <pageSetUpPr fitToPage="1"/>
  </sheetPr>
  <dimension ref="A1:N17"/>
  <sheetViews>
    <sheetView zoomScaleNormal="100" workbookViewId="0">
      <selection sqref="A1:A2"/>
    </sheetView>
  </sheetViews>
  <sheetFormatPr defaultColWidth="8.88671875" defaultRowHeight="14.4"/>
  <cols>
    <col min="1" max="1" width="20.44140625" customWidth="1"/>
    <col min="2" max="2" width="22.88671875" customWidth="1"/>
    <col min="3" max="3" width="7.33203125" customWidth="1"/>
    <col min="4" max="4" width="21" customWidth="1"/>
    <col min="5" max="5" width="7.33203125" customWidth="1"/>
    <col min="6" max="6" width="21" customWidth="1"/>
    <col min="7" max="7" width="7.33203125" customWidth="1"/>
    <col min="8" max="8" width="20.88671875" customWidth="1"/>
    <col min="9" max="9" width="7.33203125" customWidth="1"/>
    <col min="10" max="10" width="21" customWidth="1"/>
    <col min="11" max="11" width="7.33203125" customWidth="1"/>
    <col min="12" max="12" width="21" customWidth="1"/>
    <col min="13" max="13" width="7.33203125" customWidth="1"/>
    <col min="14" max="14" width="21" customWidth="1"/>
  </cols>
  <sheetData>
    <row r="1" spans="1:14" ht="24" customHeight="1" thickTop="1" thickBot="1">
      <c r="A1" s="474" t="s">
        <v>19</v>
      </c>
      <c r="B1" s="474" t="s">
        <v>20</v>
      </c>
      <c r="C1" s="476" t="s">
        <v>46</v>
      </c>
      <c r="D1" s="477"/>
      <c r="E1" s="488" t="s">
        <v>87</v>
      </c>
      <c r="F1" s="479"/>
      <c r="G1" s="478" t="s">
        <v>48</v>
      </c>
      <c r="H1" s="479"/>
      <c r="I1" s="478" t="s">
        <v>87</v>
      </c>
      <c r="J1" s="479"/>
      <c r="K1" s="478" t="s">
        <v>47</v>
      </c>
      <c r="L1" s="479"/>
      <c r="M1" s="478" t="s">
        <v>49</v>
      </c>
      <c r="N1" s="479"/>
    </row>
    <row r="2" spans="1:14" ht="16.8" thickTop="1" thickBot="1">
      <c r="A2" s="475"/>
      <c r="B2" s="475"/>
      <c r="C2" s="199" t="s">
        <v>55</v>
      </c>
      <c r="D2" s="200" t="s">
        <v>88</v>
      </c>
      <c r="E2" s="199" t="s">
        <v>55</v>
      </c>
      <c r="F2" s="200" t="s">
        <v>88</v>
      </c>
      <c r="G2" s="199" t="s">
        <v>55</v>
      </c>
      <c r="H2" s="200" t="s">
        <v>88</v>
      </c>
      <c r="I2" s="199" t="s">
        <v>55</v>
      </c>
      <c r="J2" s="200" t="s">
        <v>88</v>
      </c>
      <c r="K2" s="199" t="s">
        <v>55</v>
      </c>
      <c r="L2" s="200" t="s">
        <v>88</v>
      </c>
      <c r="M2" s="199" t="s">
        <v>55</v>
      </c>
      <c r="N2" s="201" t="s">
        <v>88</v>
      </c>
    </row>
    <row r="3" spans="1:14" ht="26.25" customHeight="1" thickTop="1">
      <c r="A3" s="480" t="s">
        <v>27</v>
      </c>
      <c r="B3" s="202" t="s">
        <v>28</v>
      </c>
      <c r="C3" s="203">
        <f>DM!D4</f>
        <v>5</v>
      </c>
      <c r="D3" s="162"/>
      <c r="E3" s="203">
        <f>DM!H4</f>
        <v>0</v>
      </c>
      <c r="F3" s="162"/>
      <c r="G3" s="203">
        <f>DM!L4</f>
        <v>4</v>
      </c>
      <c r="H3" s="166"/>
      <c r="I3" s="203">
        <f>DM!P4</f>
        <v>0</v>
      </c>
      <c r="J3" s="162"/>
      <c r="K3" s="203">
        <f>DM!T4</f>
        <v>4</v>
      </c>
      <c r="L3" s="166"/>
      <c r="M3" s="203">
        <f>DM!X4</f>
        <v>0</v>
      </c>
      <c r="N3" s="164"/>
    </row>
    <row r="4" spans="1:14" ht="26.25" customHeight="1" thickBot="1">
      <c r="A4" s="481"/>
      <c r="B4" s="204" t="s">
        <v>29</v>
      </c>
      <c r="C4" s="205">
        <f>DM!D5</f>
        <v>0</v>
      </c>
      <c r="D4" s="167"/>
      <c r="E4" s="205">
        <f>DM!H5</f>
        <v>0</v>
      </c>
      <c r="F4" s="167"/>
      <c r="G4" s="205">
        <f>DM!L5</f>
        <v>1</v>
      </c>
      <c r="H4" s="163"/>
      <c r="I4" s="205">
        <f>DM!P5</f>
        <v>0</v>
      </c>
      <c r="J4" s="167"/>
      <c r="K4" s="205">
        <f>DM!T5</f>
        <v>0</v>
      </c>
      <c r="L4" s="163"/>
      <c r="M4" s="206">
        <f>DM!X5</f>
        <v>0</v>
      </c>
      <c r="N4" s="163"/>
    </row>
    <row r="5" spans="1:14" ht="26.25" customHeight="1" thickTop="1">
      <c r="A5" s="482" t="s">
        <v>30</v>
      </c>
      <c r="B5" s="207" t="s">
        <v>31</v>
      </c>
      <c r="C5" s="203">
        <f>DM!D6</f>
        <v>1</v>
      </c>
      <c r="D5" s="164"/>
      <c r="E5" s="203">
        <f>DM!H6</f>
        <v>0</v>
      </c>
      <c r="F5" s="164"/>
      <c r="G5" s="203">
        <f>DM!L6</f>
        <v>0</v>
      </c>
      <c r="H5" s="164"/>
      <c r="I5" s="203">
        <f>DM!P6</f>
        <v>0</v>
      </c>
      <c r="J5" s="164"/>
      <c r="K5" s="203">
        <f>DM!T6</f>
        <v>1</v>
      </c>
      <c r="L5" s="164"/>
      <c r="M5" s="203">
        <f>DM!X6</f>
        <v>0</v>
      </c>
      <c r="N5" s="164"/>
    </row>
    <row r="6" spans="1:14" ht="26.25" customHeight="1">
      <c r="A6" s="483"/>
      <c r="B6" s="208" t="s">
        <v>32</v>
      </c>
      <c r="C6" s="203">
        <f>DM!D7</f>
        <v>0</v>
      </c>
      <c r="D6" s="164"/>
      <c r="E6" s="203">
        <f>DM!H7</f>
        <v>0</v>
      </c>
      <c r="F6" s="164"/>
      <c r="G6" s="203">
        <f>DM!L7</f>
        <v>0</v>
      </c>
      <c r="H6" s="164"/>
      <c r="I6" s="203">
        <f>DM!P7</f>
        <v>0</v>
      </c>
      <c r="J6" s="164"/>
      <c r="K6" s="203">
        <f>DM!T7</f>
        <v>0</v>
      </c>
      <c r="L6" s="164"/>
      <c r="M6" s="203">
        <f>DM!X7</f>
        <v>0</v>
      </c>
      <c r="N6" s="164"/>
    </row>
    <row r="7" spans="1:14" ht="26.25" customHeight="1" thickBot="1">
      <c r="A7" s="484"/>
      <c r="B7" s="209" t="s">
        <v>33</v>
      </c>
      <c r="C7" s="205">
        <f>DM!D8</f>
        <v>0</v>
      </c>
      <c r="D7" s="163"/>
      <c r="E7" s="205">
        <f>DM!H8</f>
        <v>0</v>
      </c>
      <c r="F7" s="163"/>
      <c r="G7" s="205">
        <f>DM!L8</f>
        <v>0</v>
      </c>
      <c r="H7" s="163"/>
      <c r="I7" s="205">
        <f>DM!P8</f>
        <v>0</v>
      </c>
      <c r="J7" s="163"/>
      <c r="K7" s="205">
        <f>DM!T8</f>
        <v>0</v>
      </c>
      <c r="L7" s="163"/>
      <c r="M7" s="206">
        <f>DM!X8</f>
        <v>0</v>
      </c>
      <c r="N7" s="163"/>
    </row>
    <row r="8" spans="1:14" ht="26.25" customHeight="1" thickTop="1">
      <c r="A8" s="480" t="s">
        <v>34</v>
      </c>
      <c r="B8" s="210" t="s">
        <v>35</v>
      </c>
      <c r="C8" s="203">
        <f>DM!D9</f>
        <v>1</v>
      </c>
      <c r="D8" s="164"/>
      <c r="E8" s="203">
        <f>DM!H9</f>
        <v>0</v>
      </c>
      <c r="F8" s="164"/>
      <c r="G8" s="203">
        <f>DM!L9</f>
        <v>2</v>
      </c>
      <c r="H8" s="164"/>
      <c r="I8" s="203">
        <f>DM!P9</f>
        <v>0</v>
      </c>
      <c r="J8" s="164"/>
      <c r="K8" s="203">
        <f>DM!T9</f>
        <v>0</v>
      </c>
      <c r="L8" s="164"/>
      <c r="M8" s="203">
        <f>DM!X9</f>
        <v>0</v>
      </c>
      <c r="N8" s="164"/>
    </row>
    <row r="9" spans="1:14" ht="26.25" customHeight="1">
      <c r="A9" s="485"/>
      <c r="B9" s="211" t="s">
        <v>32</v>
      </c>
      <c r="C9" s="203">
        <f>DM!D10</f>
        <v>0</v>
      </c>
      <c r="D9" s="164"/>
      <c r="E9" s="203">
        <f>DM!H10</f>
        <v>0</v>
      </c>
      <c r="F9" s="164"/>
      <c r="G9" s="203">
        <f>DM!L10</f>
        <v>0</v>
      </c>
      <c r="H9" s="164"/>
      <c r="I9" s="203">
        <f>DM!P10</f>
        <v>0</v>
      </c>
      <c r="J9" s="164"/>
      <c r="K9" s="203">
        <f>DM!T10</f>
        <v>0</v>
      </c>
      <c r="L9" s="164"/>
      <c r="M9" s="203">
        <f>DM!X10</f>
        <v>0</v>
      </c>
      <c r="N9" s="164"/>
    </row>
    <row r="10" spans="1:14" ht="26.25" customHeight="1" thickBot="1">
      <c r="A10" s="481"/>
      <c r="B10" s="212" t="s">
        <v>36</v>
      </c>
      <c r="C10" s="205">
        <f>DM!D11</f>
        <v>0</v>
      </c>
      <c r="D10" s="163"/>
      <c r="E10" s="205">
        <f>DM!H11</f>
        <v>0</v>
      </c>
      <c r="F10" s="163"/>
      <c r="G10" s="205">
        <f>DM!L11</f>
        <v>0</v>
      </c>
      <c r="H10" s="163"/>
      <c r="I10" s="205">
        <f>DM!P11</f>
        <v>0</v>
      </c>
      <c r="J10" s="163"/>
      <c r="K10" s="205">
        <f>DM!T11</f>
        <v>0</v>
      </c>
      <c r="L10" s="163"/>
      <c r="M10" s="206">
        <f>DM!X11</f>
        <v>0</v>
      </c>
      <c r="N10" s="163"/>
    </row>
    <row r="11" spans="1:14" ht="26.25" customHeight="1" thickTop="1" thickBot="1">
      <c r="A11" s="472" t="s">
        <v>37</v>
      </c>
      <c r="B11" s="473"/>
      <c r="C11" s="213">
        <f>DM!D12</f>
        <v>0</v>
      </c>
      <c r="D11" s="165"/>
      <c r="E11" s="213">
        <f>DM!H12</f>
        <v>0</v>
      </c>
      <c r="F11" s="165"/>
      <c r="G11" s="213">
        <f>DM!L12</f>
        <v>0</v>
      </c>
      <c r="H11" s="165"/>
      <c r="I11" s="213">
        <f>DM!P12</f>
        <v>0</v>
      </c>
      <c r="J11" s="165"/>
      <c r="K11" s="213">
        <f>DM!T12</f>
        <v>0</v>
      </c>
      <c r="L11" s="165"/>
      <c r="M11" s="214">
        <f>DM!X12</f>
        <v>0</v>
      </c>
      <c r="N11" s="165"/>
    </row>
    <row r="12" spans="1:14" ht="26.25" customHeight="1" thickTop="1" thickBot="1">
      <c r="A12" s="215" t="s">
        <v>38</v>
      </c>
      <c r="B12" s="216" t="s">
        <v>39</v>
      </c>
      <c r="C12" s="203">
        <f>DM!D13</f>
        <v>1</v>
      </c>
      <c r="D12" s="164"/>
      <c r="E12" s="203">
        <f>DM!H13</f>
        <v>0</v>
      </c>
      <c r="F12" s="164"/>
      <c r="G12" s="203">
        <f>DM!L13</f>
        <v>2</v>
      </c>
      <c r="H12" s="164"/>
      <c r="I12" s="203">
        <f>DM!P13</f>
        <v>0</v>
      </c>
      <c r="J12" s="164"/>
      <c r="K12" s="203">
        <f>DM!T13</f>
        <v>0</v>
      </c>
      <c r="L12" s="164"/>
      <c r="M12" s="203">
        <f>DM!X13</f>
        <v>0</v>
      </c>
      <c r="N12" s="164"/>
    </row>
    <row r="13" spans="1:14" ht="26.25" customHeight="1" thickTop="1" thickBot="1">
      <c r="A13" s="472" t="s">
        <v>40</v>
      </c>
      <c r="B13" s="473"/>
      <c r="C13" s="213">
        <f>DM!D14</f>
        <v>0</v>
      </c>
      <c r="D13" s="165"/>
      <c r="E13" s="213">
        <f>DM!H14</f>
        <v>4</v>
      </c>
      <c r="F13" s="165"/>
      <c r="G13" s="213">
        <f>DM!L14</f>
        <v>0</v>
      </c>
      <c r="H13" s="165"/>
      <c r="I13" s="213">
        <f>DM!P14</f>
        <v>4</v>
      </c>
      <c r="J13" s="165"/>
      <c r="K13" s="213">
        <f>DM!T14</f>
        <v>0</v>
      </c>
      <c r="L13" s="165"/>
      <c r="M13" s="214">
        <f>DM!X14</f>
        <v>2</v>
      </c>
      <c r="N13" s="165"/>
    </row>
    <row r="14" spans="1:14" ht="26.25" customHeight="1" thickTop="1" thickBot="1">
      <c r="A14" s="486" t="s">
        <v>41</v>
      </c>
      <c r="B14" s="487"/>
      <c r="C14" s="213">
        <f>DM!D15</f>
        <v>2.5</v>
      </c>
      <c r="D14" s="165"/>
      <c r="E14" s="213">
        <f>DM!H15</f>
        <v>0</v>
      </c>
      <c r="F14" s="165"/>
      <c r="G14" s="213">
        <f>DM!L15</f>
        <v>3</v>
      </c>
      <c r="H14" s="165"/>
      <c r="I14" s="213">
        <f>DM!P15</f>
        <v>0</v>
      </c>
      <c r="J14" s="165"/>
      <c r="K14" s="213">
        <f>DM!T15</f>
        <v>2</v>
      </c>
      <c r="L14" s="165"/>
      <c r="M14" s="214">
        <f>DM!X15</f>
        <v>0</v>
      </c>
      <c r="N14" s="165"/>
    </row>
    <row r="15" spans="1:14" ht="26.25" customHeight="1" thickTop="1" thickBot="1">
      <c r="A15" s="472" t="s">
        <v>42</v>
      </c>
      <c r="B15" s="473"/>
      <c r="C15" s="205">
        <f>DM!D16</f>
        <v>0</v>
      </c>
      <c r="D15" s="163"/>
      <c r="E15" s="205">
        <f>DM!H16</f>
        <v>0</v>
      </c>
      <c r="F15" s="163"/>
      <c r="G15" s="205">
        <f>DM!L16</f>
        <v>0</v>
      </c>
      <c r="H15" s="163"/>
      <c r="I15" s="205">
        <f>DM!P16</f>
        <v>0</v>
      </c>
      <c r="J15" s="163"/>
      <c r="K15" s="205">
        <f>DM!T16</f>
        <v>0</v>
      </c>
      <c r="L15" s="163"/>
      <c r="M15" s="206">
        <f>DM!X16</f>
        <v>0</v>
      </c>
      <c r="N15" s="163"/>
    </row>
    <row r="16" spans="1:14" ht="15" thickTop="1">
      <c r="A16" s="255" t="s">
        <v>176</v>
      </c>
      <c r="B16" s="256"/>
      <c r="C16" s="256"/>
      <c r="D16" s="256"/>
      <c r="E16" s="28"/>
      <c r="F16" s="28"/>
      <c r="G16" s="28"/>
    </row>
    <row r="17" spans="1:7">
      <c r="A17" s="253" t="s">
        <v>99</v>
      </c>
      <c r="B17" s="254"/>
      <c r="C17" s="254"/>
      <c r="D17" s="254"/>
      <c r="E17" s="254"/>
      <c r="F17" s="254"/>
      <c r="G17" s="254"/>
    </row>
  </sheetData>
  <sheetProtection algorithmName="SHA-512" hashValue="J1MS7ma5Qk2KZUmJRiZutmFA4AaWA+PSZ4lNuNM9gLebvzhiRGlwnfGmanS6UunBehZDe2vP8laWZYvHMcjMMw==" saltValue="dW/T/0mxKDUu7710tC3KFw==" spinCount="100000" sheet="1" objects="1" scenarios="1" formatColumns="0" formatRows="0"/>
  <mergeCells count="15">
    <mergeCell ref="K1:L1"/>
    <mergeCell ref="M1:N1"/>
    <mergeCell ref="I1:J1"/>
    <mergeCell ref="E1:F1"/>
    <mergeCell ref="A11:B11"/>
    <mergeCell ref="A15:B15"/>
    <mergeCell ref="A1:A2"/>
    <mergeCell ref="B1:B2"/>
    <mergeCell ref="C1:D1"/>
    <mergeCell ref="G1:H1"/>
    <mergeCell ref="A3:A4"/>
    <mergeCell ref="A5:A7"/>
    <mergeCell ref="A8:A10"/>
    <mergeCell ref="A13:B13"/>
    <mergeCell ref="A14:B14"/>
  </mergeCells>
  <conditionalFormatting sqref="A11">
    <cfRule type="colorScale" priority="1">
      <colorScale>
        <cfvo type="min"/>
        <cfvo type="percentile" val="50"/>
        <cfvo type="max"/>
        <color rgb="FF63BE7B"/>
        <color rgb="FFFFEB84"/>
        <color rgb="FFF8696B"/>
      </colorScale>
    </cfRule>
  </conditionalFormatting>
  <conditionalFormatting sqref="A5:B5 A8 A3:B3 B4 A12:B12 B6:B10 A13:A15">
    <cfRule type="colorScale" priority="3">
      <colorScale>
        <cfvo type="min"/>
        <cfvo type="percentile" val="50"/>
        <cfvo type="max"/>
        <color rgb="FF63BE7B"/>
        <color rgb="FFFFEB84"/>
        <color rgb="FFF8696B"/>
      </colorScale>
    </cfRule>
  </conditionalFormatting>
  <conditionalFormatting sqref="A1:B1">
    <cfRule type="colorScale" priority="2">
      <colorScale>
        <cfvo type="min"/>
        <cfvo type="percentile" val="50"/>
        <cfvo type="max"/>
        <color rgb="FF63BE7B"/>
        <color rgb="FFFFEB84"/>
        <color rgb="FFF8696B"/>
      </colorScale>
    </cfRule>
  </conditionalFormatting>
  <pageMargins left="0.25" right="0.25" top="0.75" bottom="0.75" header="0.3" footer="0.3"/>
  <pageSetup paperSize="9" scale="91" orientation="landscape" cellComments="atEnd"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ورقة9">
    <pageSetUpPr fitToPage="1"/>
  </sheetPr>
  <dimension ref="A1:D40"/>
  <sheetViews>
    <sheetView zoomScaleNormal="100" workbookViewId="0"/>
  </sheetViews>
  <sheetFormatPr defaultColWidth="8.88671875" defaultRowHeight="14.4"/>
  <cols>
    <col min="1" max="1" width="36.44140625" customWidth="1"/>
    <col min="2" max="2" width="51.44140625" customWidth="1"/>
    <col min="3" max="3" width="24.33203125" customWidth="1"/>
  </cols>
  <sheetData>
    <row r="1" spans="1:3" ht="26.4" thickBot="1">
      <c r="A1" s="169" t="s">
        <v>179</v>
      </c>
      <c r="B1" s="168" t="s">
        <v>180</v>
      </c>
      <c r="C1" s="170"/>
    </row>
    <row r="2" spans="1:3">
      <c r="A2" s="172"/>
      <c r="B2" s="172"/>
      <c r="C2" s="489" t="s">
        <v>181</v>
      </c>
    </row>
    <row r="3" spans="1:3">
      <c r="A3" s="173"/>
      <c r="B3" s="173"/>
      <c r="C3" s="490"/>
    </row>
    <row r="4" spans="1:3">
      <c r="A4" s="173"/>
      <c r="B4" s="173"/>
      <c r="C4" s="490"/>
    </row>
    <row r="5" spans="1:3">
      <c r="A5" s="173"/>
      <c r="B5" s="173"/>
      <c r="C5" s="490"/>
    </row>
    <row r="6" spans="1:3">
      <c r="A6" s="173"/>
      <c r="B6" s="173"/>
      <c r="C6" s="490"/>
    </row>
    <row r="7" spans="1:3">
      <c r="A7" s="173"/>
      <c r="B7" s="173"/>
      <c r="C7" s="490"/>
    </row>
    <row r="8" spans="1:3">
      <c r="A8" s="173"/>
      <c r="B8" s="173"/>
      <c r="C8" s="490"/>
    </row>
    <row r="9" spans="1:3">
      <c r="A9" s="173"/>
      <c r="B9" s="173"/>
      <c r="C9" s="490"/>
    </row>
    <row r="10" spans="1:3" ht="15" thickBot="1">
      <c r="A10" s="174"/>
      <c r="B10" s="174"/>
      <c r="C10" s="491"/>
    </row>
    <row r="11" spans="1:3">
      <c r="A11" s="172"/>
      <c r="B11" s="172"/>
      <c r="C11" s="489" t="s">
        <v>182</v>
      </c>
    </row>
    <row r="12" spans="1:3">
      <c r="A12" s="173"/>
      <c r="B12" s="173"/>
      <c r="C12" s="490"/>
    </row>
    <row r="13" spans="1:3">
      <c r="A13" s="173"/>
      <c r="B13" s="173"/>
      <c r="C13" s="490"/>
    </row>
    <row r="14" spans="1:3">
      <c r="A14" s="173"/>
      <c r="B14" s="173"/>
      <c r="C14" s="490"/>
    </row>
    <row r="15" spans="1:3" ht="15" thickBot="1">
      <c r="A15" s="174"/>
      <c r="B15" s="174"/>
      <c r="C15" s="491"/>
    </row>
    <row r="16" spans="1:3">
      <c r="A16" s="172"/>
      <c r="B16" s="172"/>
      <c r="C16" s="489" t="s">
        <v>183</v>
      </c>
    </row>
    <row r="17" spans="1:3">
      <c r="A17" s="173"/>
      <c r="B17" s="173"/>
      <c r="C17" s="490"/>
    </row>
    <row r="18" spans="1:3">
      <c r="A18" s="173"/>
      <c r="B18" s="173"/>
      <c r="C18" s="490"/>
    </row>
    <row r="19" spans="1:3">
      <c r="A19" s="173"/>
      <c r="B19" s="173"/>
      <c r="C19" s="490"/>
    </row>
    <row r="20" spans="1:3">
      <c r="A20" s="173"/>
      <c r="B20" s="173"/>
      <c r="C20" s="490"/>
    </row>
    <row r="21" spans="1:3">
      <c r="A21" s="173"/>
      <c r="B21" s="173"/>
      <c r="C21" s="490"/>
    </row>
    <row r="22" spans="1:3">
      <c r="A22" s="173"/>
      <c r="B22" s="173"/>
      <c r="C22" s="490"/>
    </row>
    <row r="23" spans="1:3">
      <c r="A23" s="173"/>
      <c r="B23" s="173"/>
      <c r="C23" s="490"/>
    </row>
    <row r="24" spans="1:3" ht="15" thickBot="1">
      <c r="A24" s="174"/>
      <c r="B24" s="174"/>
      <c r="C24" s="491"/>
    </row>
    <row r="25" spans="1:3">
      <c r="A25" s="172"/>
      <c r="B25" s="172"/>
      <c r="C25" s="489" t="s">
        <v>182</v>
      </c>
    </row>
    <row r="26" spans="1:3">
      <c r="A26" s="173"/>
      <c r="B26" s="173"/>
      <c r="C26" s="490"/>
    </row>
    <row r="27" spans="1:3">
      <c r="A27" s="173"/>
      <c r="B27" s="173"/>
      <c r="C27" s="490"/>
    </row>
    <row r="28" spans="1:3">
      <c r="A28" s="173"/>
      <c r="B28" s="173"/>
      <c r="C28" s="490"/>
    </row>
    <row r="29" spans="1:3" ht="15" thickBot="1">
      <c r="A29" s="174"/>
      <c r="B29" s="174"/>
      <c r="C29" s="491"/>
    </row>
    <row r="30" spans="1:3">
      <c r="A30" s="172" t="s">
        <v>258</v>
      </c>
      <c r="B30" s="172" t="s">
        <v>259</v>
      </c>
      <c r="C30" s="489" t="s">
        <v>184</v>
      </c>
    </row>
    <row r="31" spans="1:3">
      <c r="A31" s="173" t="s">
        <v>263</v>
      </c>
      <c r="B31" s="173" t="s">
        <v>262</v>
      </c>
      <c r="C31" s="490"/>
    </row>
    <row r="32" spans="1:3">
      <c r="A32" s="173"/>
      <c r="B32" s="173"/>
      <c r="C32" s="490"/>
    </row>
    <row r="33" spans="1:4">
      <c r="A33" s="173"/>
      <c r="B33" s="173"/>
      <c r="C33" s="490"/>
    </row>
    <row r="34" spans="1:4">
      <c r="A34" s="173"/>
      <c r="B34" s="173"/>
      <c r="C34" s="490"/>
    </row>
    <row r="35" spans="1:4">
      <c r="A35" s="173"/>
      <c r="B35" s="173"/>
      <c r="C35" s="490"/>
    </row>
    <row r="36" spans="1:4" ht="15" thickBot="1">
      <c r="A36" s="174"/>
      <c r="B36" s="174"/>
      <c r="C36" s="491"/>
    </row>
    <row r="37" spans="1:4" ht="18" customHeight="1">
      <c r="A37" s="175"/>
      <c r="B37" s="176"/>
      <c r="C37" s="492" t="s">
        <v>185</v>
      </c>
      <c r="D37" s="171"/>
    </row>
    <row r="38" spans="1:4">
      <c r="A38" s="177"/>
      <c r="B38" s="178"/>
      <c r="C38" s="493"/>
      <c r="D38" s="171"/>
    </row>
    <row r="39" spans="1:4">
      <c r="A39" s="177"/>
      <c r="B39" s="178"/>
      <c r="C39" s="493"/>
      <c r="D39" s="171"/>
    </row>
    <row r="40" spans="1:4" ht="15" thickBot="1">
      <c r="A40" s="179"/>
      <c r="B40" s="179"/>
      <c r="C40" s="494"/>
      <c r="D40" s="171"/>
    </row>
  </sheetData>
  <sheetProtection algorithmName="SHA-512" hashValue="Zu2JQmzn2cH7eVGdVp4xYYpZ0HAqwzFHQlKopuHuNH1WoFPpnxG7sgI6JVTbVUmXUgcyk6h2Z3s0gozFUCVomw==" saltValue="bHd0c0jx7RQlh2XOxF43Dw==" spinCount="100000" sheet="1" objects="1" scenarios="1" formatColumns="0" formatRows="0"/>
  <mergeCells count="6">
    <mergeCell ref="C30:C36"/>
    <mergeCell ref="C37:C40"/>
    <mergeCell ref="C16:C24"/>
    <mergeCell ref="C25:C29"/>
    <mergeCell ref="C2:C10"/>
    <mergeCell ref="C11:C15"/>
  </mergeCells>
  <pageMargins left="0.25" right="0.25" top="0.75" bottom="0.75" header="0.3" footer="0.3"/>
  <pageSetup paperSize="9" scale="88" orientation="portrait" cellComments="atEnd"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about</vt:lpstr>
      <vt:lpstr>Tutorial</vt:lpstr>
      <vt:lpstr>target weight</vt:lpstr>
      <vt:lpstr>Formula</vt:lpstr>
      <vt:lpstr>Ex. List</vt:lpstr>
      <vt:lpstr>DM</vt:lpstr>
      <vt:lpstr>Menu</vt:lpstr>
      <vt:lpstr>menu2</vt:lpstr>
      <vt:lpstr>meals</vt:lpstr>
      <vt:lpstr>female</vt:lpstr>
      <vt:lpstr>lactating</vt:lpstr>
      <vt:lpstr>male</vt:lpstr>
      <vt:lpstr>pregnant</vt:lpstr>
      <vt:lpstr>DM!Print_Area</vt:lpstr>
      <vt:lpstr>'Ex. List'!Print_Area</vt:lpstr>
      <vt:lpstr>Formula!Print_Area</vt:lpstr>
      <vt:lpstr>meals!Print_Area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Awad</dc:creator>
  <cp:lastModifiedBy>ghada hussein</cp:lastModifiedBy>
  <cp:lastPrinted>2022-10-09T13:50:34Z</cp:lastPrinted>
  <dcterms:created xsi:type="dcterms:W3CDTF">2010-05-01T12:07:56Z</dcterms:created>
  <dcterms:modified xsi:type="dcterms:W3CDTF">2023-04-25T14:35:13Z</dcterms:modified>
</cp:coreProperties>
</file>